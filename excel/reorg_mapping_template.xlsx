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apping" sheetId="2" state="visible" r:id="rId2"/>
    <sheet name="Coverage" sheetId="3" state="visible" r:id="rId3"/>
    <sheet name="Lists" sheetId="4" state="visible" r:id="rId4"/>
    <sheet name="Peo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5">
    <font>
      <name val="Calibri"/>
      <family val="2"/>
      <color theme="1"/>
      <sz val="11"/>
      <scheme val="minor"/>
    </font>
    <font>
      <name val="Segoe UI"/>
      <b val="1"/>
      <color rgb="000B0B0B"/>
      <sz val="16"/>
    </font>
    <font>
      <name val="Segoe UI"/>
      <i val="1"/>
      <color rgb="0052514E"/>
      <sz val="10"/>
    </font>
    <font>
      <name val="Segoe UI"/>
      <b val="1"/>
      <color rgb="000B0B0B"/>
      <sz val="10"/>
    </font>
    <font>
      <name val="Segoe UI"/>
      <color rgb="000B0B0B"/>
      <sz val="10"/>
    </font>
  </fonts>
  <fills count="4">
    <fill>
      <patternFill/>
    </fill>
    <fill>
      <patternFill patternType="gray125"/>
    </fill>
    <fill>
      <patternFill patternType="solid">
        <fgColor rgb="00EEF4FC"/>
      </patternFill>
    </fill>
    <fill>
      <patternFill patternType="solid">
        <fgColor rgb="00F4F4F1"/>
      </patternFill>
    </fill>
  </fills>
  <borders count="2">
    <border>
      <left/>
      <right/>
      <top/>
      <bottom/>
      <diagonal/>
    </border>
    <border>
      <bottom style="medium">
        <color rgb="002A78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vertical="bottom" wrapText="1"/>
    </xf>
    <xf numFmtId="0" fontId="4" fillId="2" borderId="0" pivotButton="0" quotePrefix="0" xfId="0"/>
    <xf numFmtId="0" fontId="4" fillId="3" borderId="0" pivotButton="0" quotePrefix="0" xfId="0"/>
    <xf numFmtId="165" fontId="4" fillId="2" borderId="0" pivotButton="0" quotePrefix="0" xfId="0"/>
    <xf numFmtId="0" fontId="3" fillId="3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dxfs count="2">
    <dxf>
      <font>
        <name val="Segoe UI"/>
        <b val="1"/>
        <color rgb="00D03B3B"/>
      </font>
      <fill>
        <patternFill patternType="solid">
          <fgColor rgb="00FBE9E9"/>
        </patternFill>
      </fill>
    </dxf>
    <dxf>
      <font>
        <name val="Segoe UI"/>
        <b val="1"/>
        <color rgb="000063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template</t>
        </is>
      </c>
    </row>
    <row r="2">
      <c r="A2" s="2" t="inlineStr">
        <is>
          <t>Vltava Market Group · People Analytics · synthetic data</t>
        </is>
      </c>
    </row>
    <row r="4">
      <c r="A4" s="3" t="inlineStr">
        <is>
          <t>1. On 'Mapping', add one row per current unit: where does it go, which cost center, who leads it.</t>
        </is>
      </c>
    </row>
    <row r="5">
      <c r="A5" s="3" t="inlineStr">
        <is>
          <t>2. Blue cells are yours. Grey cells check your entries as you type: every row must say 'Ready'.</t>
        </is>
      </c>
    </row>
    <row r="6">
      <c r="A6" s="3" t="inlineStr">
        <is>
          <t>3. 'Coverage' shows units you haven't mapped yet and whether headcount still adds up.</t>
        </is>
      </c>
    </row>
    <row r="7">
      <c r="A7" s="3" t="inlineStr">
        <is>
          <t>4. Send the file to People Analytics. src/reorg_validate.py re-runs these checks and adds spans of control,</t>
        </is>
      </c>
    </row>
    <row r="8">
      <c r="A8" s="3" t="inlineStr">
        <is>
          <t xml:space="preserve">   management layers and a comparison with the HRIS after go-live.</t>
        </is>
      </c>
    </row>
    <row r="9">
      <c r="A9" s="3" t="inlineStr"/>
    </row>
    <row r="10">
      <c r="A10" s="4" t="inlineStr">
        <is>
          <t>What the checks catch</t>
        </is>
      </c>
    </row>
    <row r="11">
      <c r="A11" s="3" t="inlineStr">
        <is>
          <t>✗ not in target      the new unit isn't in the approved target structure (often a typo)</t>
        </is>
      </c>
    </row>
    <row r="12">
      <c r="A12" s="3" t="inlineStr">
        <is>
          <t>✗ use CC-…           the cost center doesn't belong to that unit</t>
        </is>
      </c>
    </row>
    <row r="13">
      <c r="A13" s="3" t="inlineStr">
        <is>
          <t>✗ not found          the unit head isn't an active employee</t>
        </is>
      </c>
    </row>
    <row r="14">
      <c r="A14" s="3" t="inlineStr">
        <is>
          <t>✗ should be …        the effective date differs from the programme date</t>
        </is>
      </c>
    </row>
    <row r="15">
      <c r="A15" s="3" t="inlineStr">
        <is>
          <t>✗ NOT MAPPED         a current unit has no row; its people would drop out of reporting</t>
        </is>
      </c>
    </row>
    <row r="16">
      <c r="A16" s="3" t="inlineStr"/>
    </row>
    <row r="17">
      <c r="A17" s="4" t="inlineStr">
        <is>
          <t>This copy is pre-filled with the first HRBP submission, so you can see the flags in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26" customWidth="1" min="4" max="4"/>
    <col width="13" customWidth="1" min="5" max="5"/>
    <col width="12" customWidth="1" min="6" max="6"/>
    <col width="12" customWidth="1" min="7" max="7"/>
    <col width="13" customWidth="1" min="8" max="8"/>
    <col width="18" customWidth="1" min="9" max="9"/>
    <col width="18" customWidth="1" min="10" max="10"/>
    <col width="14" customWidth="1" min="11" max="11"/>
    <col width="22" customWidth="1" min="12" max="12"/>
    <col width="16" customWidth="1" min="13" max="13"/>
  </cols>
  <sheetData>
    <row r="1">
      <c r="A1" s="1" t="inlineStr">
        <is>
          <t>Reorganisation mapping: Technology, Q3 2026</t>
        </is>
      </c>
    </row>
    <row r="2">
      <c r="A2" s="2" t="inlineStr">
        <is>
          <t>Blue cells: you type or pick. Grey cells: checks, don't type. Every row must say 'Ready' before go-live.</t>
        </is>
      </c>
    </row>
    <row r="4" ht="30" customHeight="1">
      <c r="A4" s="5" t="inlineStr">
        <is>
          <t>Old unit</t>
        </is>
      </c>
      <c r="B4" s="5" t="inlineStr">
        <is>
          <t>Old cost center</t>
        </is>
      </c>
      <c r="C4" s="5" t="inlineStr">
        <is>
          <t>New division</t>
        </is>
      </c>
      <c r="D4" s="5" t="inlineStr">
        <is>
          <t>New unit</t>
        </is>
      </c>
      <c r="E4" s="5" t="inlineStr">
        <is>
          <t>New cost center</t>
        </is>
      </c>
      <c r="F4" s="5" t="inlineStr">
        <is>
          <t>New unit head (ID)</t>
        </is>
      </c>
      <c r="G4" s="5" t="inlineStr">
        <is>
          <t>Head reports to (ID)</t>
        </is>
      </c>
      <c r="H4" s="5" t="inlineStr">
        <is>
          <t>Effective date</t>
        </is>
      </c>
      <c r="I4" s="5" t="inlineStr">
        <is>
          <t>New unit in target?</t>
        </is>
      </c>
      <c r="J4" s="5" t="inlineStr">
        <is>
          <t>Cost center OK?</t>
        </is>
      </c>
      <c r="K4" s="5" t="inlineStr">
        <is>
          <t>Head active?</t>
        </is>
      </c>
      <c r="L4" s="5" t="inlineStr">
        <is>
          <t>Date OK?</t>
        </is>
      </c>
      <c r="M4" s="5" t="inlineStr">
        <is>
          <t>Status</t>
        </is>
      </c>
    </row>
    <row r="5">
      <c r="A5" s="6" t="inlineStr">
        <is>
          <t>Platform Engineering</t>
        </is>
      </c>
      <c r="B5" s="7">
        <f>IF(A5="","",IFERROR(_xlfn.XLOOKUP(A5,Lists!$A$5:$A$8,Lists!$C$5:$C$8),"? unknown unit"))</f>
        <v/>
      </c>
      <c r="C5" s="6" t="inlineStr">
        <is>
          <t>Technology</t>
        </is>
      </c>
      <c r="D5" s="6" t="inlineStr">
        <is>
          <t>Platform &amp; Infrastructure</t>
        </is>
      </c>
      <c r="E5" s="6" t="inlineStr">
        <is>
          <t>CC-3150</t>
        </is>
      </c>
      <c r="F5" s="6" t="n">
        <v>100157</v>
      </c>
      <c r="G5" s="6" t="n">
        <v>100100</v>
      </c>
      <c r="H5" s="8" t="n">
        <v>46204</v>
      </c>
      <c r="I5" s="7">
        <f>IF(D5="","",IF(COUNTIF(Lists!$F$5:$F$7,D5)&gt;0,"✓","✗ not in target"))</f>
        <v/>
      </c>
      <c r="J5" s="7">
        <f>IF(E5="","",IF(COUNTIF(Lists!$F$5:$F$7,D5)=0,"–",IF(_xlfn.XLOOKUP(D5,Lists!$F$5:$F$7,Lists!$G$5:$G$7)=E5,"✓","✗ use "&amp;_xlfn.XLOOKUP(D5,Lists!$F$5:$F$7,Lists!$G$5:$G$7))))</f>
        <v/>
      </c>
      <c r="K5" s="7">
        <f>IF(F5="","",IF(COUNTIF(People!$A$5:$A$248,F5)&gt;0,"✓","✗ not found"))</f>
        <v/>
      </c>
      <c r="L5" s="7">
        <f>IF(H5="","",IF(H5=Lists!$J$5,"✓","✗ should be "&amp;TEXT(Lists!$J$5,"dd mmm yyyy")))</f>
        <v/>
      </c>
      <c r="M5" s="7">
        <f>IF(A5="","",IF(COUNTIF(I5:L5,"✗*")=0,"Ready","Fix "&amp;COUNTIF(I5:L5,"✗*")&amp;" issue(s)"))</f>
        <v/>
      </c>
    </row>
    <row r="6">
      <c r="A6" s="6" t="inlineStr">
        <is>
          <t>IT Infrastructure</t>
        </is>
      </c>
      <c r="B6" s="7">
        <f>IF(A6="","",IFERROR(_xlfn.XLOOKUP(A6,Lists!$A$5:$A$8,Lists!$C$5:$C$8),"? unknown unit"))</f>
        <v/>
      </c>
      <c r="C6" s="6" t="inlineStr">
        <is>
          <t>Technology</t>
        </is>
      </c>
      <c r="D6" s="6" t="inlineStr">
        <is>
          <t>Platform &amp; Infrastucture</t>
        </is>
      </c>
      <c r="E6" s="6" t="inlineStr">
        <is>
          <t>CC-3150</t>
        </is>
      </c>
      <c r="F6" s="6" t="n">
        <v>100101</v>
      </c>
      <c r="G6" s="6" t="n">
        <v>100100</v>
      </c>
      <c r="H6" s="8" t="n">
        <v>46204</v>
      </c>
      <c r="I6" s="7">
        <f>IF(D6="","",IF(COUNTIF(Lists!$F$5:$F$7,D6)&gt;0,"✓","✗ not in target"))</f>
        <v/>
      </c>
      <c r="J6" s="7">
        <f>IF(E6="","",IF(COUNTIF(Lists!$F$5:$F$7,D6)=0,"–",IF(_xlfn.XLOOKUP(D6,Lists!$F$5:$F$7,Lists!$G$5:$G$7)=E6,"✓","✗ use "&amp;_xlfn.XLOOKUP(D6,Lists!$F$5:$F$7,Lists!$G$5:$G$7))))</f>
        <v/>
      </c>
      <c r="K6" s="7">
        <f>IF(F6="","",IF(COUNTIF(People!$A$5:$A$248,F6)&gt;0,"✓","✗ not found"))</f>
        <v/>
      </c>
      <c r="L6" s="7">
        <f>IF(H6="","",IF(H6=Lists!$J$5,"✓","✗ should be "&amp;TEXT(Lists!$J$5,"dd mmm yyyy")))</f>
        <v/>
      </c>
      <c r="M6" s="7">
        <f>IF(A6="","",IF(COUNTIF(I6:L6,"✗*")=0,"Ready","Fix "&amp;COUNTIF(I6:L6,"✗*")&amp;" issue(s)"))</f>
        <v/>
      </c>
    </row>
    <row r="7">
      <c r="A7" s="6" t="inlineStr">
        <is>
          <t>Market Data</t>
        </is>
      </c>
      <c r="B7" s="7">
        <f>IF(A7="","",IFERROR(_xlfn.XLOOKUP(A7,Lists!$A$5:$A$8,Lists!$C$5:$C$8),"? unknown unit"))</f>
        <v/>
      </c>
      <c r="C7" s="6" t="inlineStr">
        <is>
          <t>Technology</t>
        </is>
      </c>
      <c r="D7" s="6" t="inlineStr">
        <is>
          <t>Data &amp; Analytics</t>
        </is>
      </c>
      <c r="E7" s="6" t="inlineStr">
        <is>
          <t>CC-3150</t>
        </is>
      </c>
      <c r="F7" s="6" t="n">
        <v>100047</v>
      </c>
      <c r="G7" s="6" t="n">
        <v>100100</v>
      </c>
      <c r="H7" s="8" t="n">
        <v>46235</v>
      </c>
      <c r="I7" s="7">
        <f>IF(D7="","",IF(COUNTIF(Lists!$F$5:$F$7,D7)&gt;0,"✓","✗ not in target"))</f>
        <v/>
      </c>
      <c r="J7" s="7">
        <f>IF(E7="","",IF(COUNTIF(Lists!$F$5:$F$7,D7)=0,"–",IF(_xlfn.XLOOKUP(D7,Lists!$F$5:$F$7,Lists!$G$5:$G$7)=E7,"✓","✗ use "&amp;_xlfn.XLOOKUP(D7,Lists!$F$5:$F$7,Lists!$G$5:$G$7))))</f>
        <v/>
      </c>
      <c r="K7" s="7">
        <f>IF(F7="","",IF(COUNTIF(People!$A$5:$A$248,F7)&gt;0,"✓","✗ not found"))</f>
        <v/>
      </c>
      <c r="L7" s="7">
        <f>IF(H7="","",IF(H7=Lists!$J$5,"✓","✗ should be "&amp;TEXT(Lists!$J$5,"dd mmm yyyy")))</f>
        <v/>
      </c>
      <c r="M7" s="7">
        <f>IF(A7="","",IF(COUNTIF(I7:L7,"✗*")=0,"Ready","Fix "&amp;COUNTIF(I7:L7,"✗*")&amp;" issue(s)"))</f>
        <v/>
      </c>
    </row>
    <row r="8">
      <c r="A8" s="6" t="n"/>
      <c r="B8" s="7">
        <f>IF(A8="","",IFERROR(_xlfn.XLOOKUP(A8,Lists!$A$5:$A$8,Lists!$C$5:$C$8),"? unknown unit"))</f>
        <v/>
      </c>
      <c r="C8" s="6" t="n"/>
      <c r="D8" s="6" t="n"/>
      <c r="E8" s="6" t="n"/>
      <c r="F8" s="6" t="n"/>
      <c r="G8" s="6" t="n"/>
      <c r="H8" s="8" t="n"/>
      <c r="I8" s="7">
        <f>IF(D8="","",IF(COUNTIF(Lists!$F$5:$F$7,D8)&gt;0,"✓","✗ not in target"))</f>
        <v/>
      </c>
      <c r="J8" s="7">
        <f>IF(E8="","",IF(COUNTIF(Lists!$F$5:$F$7,D8)=0,"–",IF(_xlfn.XLOOKUP(D8,Lists!$F$5:$F$7,Lists!$G$5:$G$7)=E8,"✓","✗ use "&amp;_xlfn.XLOOKUP(D8,Lists!$F$5:$F$7,Lists!$G$5:$G$7))))</f>
        <v/>
      </c>
      <c r="K8" s="7">
        <f>IF(F8="","",IF(COUNTIF(People!$A$5:$A$248,F8)&gt;0,"✓","✗ not found"))</f>
        <v/>
      </c>
      <c r="L8" s="7">
        <f>IF(H8="","",IF(H8=Lists!$J$5,"✓","✗ should be "&amp;TEXT(Lists!$J$5,"dd mmm yyyy")))</f>
        <v/>
      </c>
      <c r="M8" s="7">
        <f>IF(A8="","",IF(COUNTIF(I8:L8,"✗*")=0,"Ready","Fix "&amp;COUNTIF(I8:L8,"✗*")&amp;" issue(s)"))</f>
        <v/>
      </c>
    </row>
    <row r="9">
      <c r="A9" s="6" t="n"/>
      <c r="B9" s="7">
        <f>IF(A9="","",IFERROR(_xlfn.XLOOKUP(A9,Lists!$A$5:$A$8,Lists!$C$5:$C$8),"? unknown unit"))</f>
        <v/>
      </c>
      <c r="C9" s="6" t="n"/>
      <c r="D9" s="6" t="n"/>
      <c r="E9" s="6" t="n"/>
      <c r="F9" s="6" t="n"/>
      <c r="G9" s="6" t="n"/>
      <c r="H9" s="8" t="n"/>
      <c r="I9" s="7">
        <f>IF(D9="","",IF(COUNTIF(Lists!$F$5:$F$7,D9)&gt;0,"✓","✗ not in target"))</f>
        <v/>
      </c>
      <c r="J9" s="7">
        <f>IF(E9="","",IF(COUNTIF(Lists!$F$5:$F$7,D9)=0,"–",IF(_xlfn.XLOOKUP(D9,Lists!$F$5:$F$7,Lists!$G$5:$G$7)=E9,"✓","✗ use "&amp;_xlfn.XLOOKUP(D9,Lists!$F$5:$F$7,Lists!$G$5:$G$7))))</f>
        <v/>
      </c>
      <c r="K9" s="7">
        <f>IF(F9="","",IF(COUNTIF(People!$A$5:$A$248,F9)&gt;0,"✓","✗ not found"))</f>
        <v/>
      </c>
      <c r="L9" s="7">
        <f>IF(H9="","",IF(H9=Lists!$J$5,"✓","✗ should be "&amp;TEXT(Lists!$J$5,"dd mmm yyyy")))</f>
        <v/>
      </c>
      <c r="M9" s="7">
        <f>IF(A9="","",IF(COUNTIF(I9:L9,"✗*")=0,"Ready","Fix "&amp;COUNTIF(I9:L9,"✗*")&amp;" issue(s)"))</f>
        <v/>
      </c>
    </row>
    <row r="10">
      <c r="A10" s="6" t="n"/>
      <c r="B10" s="7">
        <f>IF(A10="","",IFERROR(_xlfn.XLOOKUP(A10,Lists!$A$5:$A$8,Lists!$C$5:$C$8),"? unknown unit"))</f>
        <v/>
      </c>
      <c r="C10" s="6" t="n"/>
      <c r="D10" s="6" t="n"/>
      <c r="E10" s="6" t="n"/>
      <c r="F10" s="6" t="n"/>
      <c r="G10" s="6" t="n"/>
      <c r="H10" s="8" t="n"/>
      <c r="I10" s="7">
        <f>IF(D10="","",IF(COUNTIF(Lists!$F$5:$F$7,D10)&gt;0,"✓","✗ not in target"))</f>
        <v/>
      </c>
      <c r="J10" s="7">
        <f>IF(E10="","",IF(COUNTIF(Lists!$F$5:$F$7,D10)=0,"–",IF(_xlfn.XLOOKUP(D10,Lists!$F$5:$F$7,Lists!$G$5:$G$7)=E10,"✓","✗ use "&amp;_xlfn.XLOOKUP(D10,Lists!$F$5:$F$7,Lists!$G$5:$G$7))))</f>
        <v/>
      </c>
      <c r="K10" s="7">
        <f>IF(F10="","",IF(COUNTIF(People!$A$5:$A$248,F10)&gt;0,"✓","✗ not found"))</f>
        <v/>
      </c>
      <c r="L10" s="7">
        <f>IF(H10="","",IF(H10=Lists!$J$5,"✓","✗ should be "&amp;TEXT(Lists!$J$5,"dd mmm yyyy")))</f>
        <v/>
      </c>
      <c r="M10" s="7">
        <f>IF(A10="","",IF(COUNTIF(I10:L10,"✗*")=0,"Ready","Fix "&amp;COUNTIF(I10:L10,"✗*")&amp;" issue(s)"))</f>
        <v/>
      </c>
    </row>
    <row r="11">
      <c r="A11" s="6" t="n"/>
      <c r="B11" s="7">
        <f>IF(A11="","",IFERROR(_xlfn.XLOOKUP(A11,Lists!$A$5:$A$8,Lists!$C$5:$C$8),"? unknown unit"))</f>
        <v/>
      </c>
      <c r="C11" s="6" t="n"/>
      <c r="D11" s="6" t="n"/>
      <c r="E11" s="6" t="n"/>
      <c r="F11" s="6" t="n"/>
      <c r="G11" s="6" t="n"/>
      <c r="H11" s="8" t="n"/>
      <c r="I11" s="7">
        <f>IF(D11="","",IF(COUNTIF(Lists!$F$5:$F$7,D11)&gt;0,"✓","✗ not in target"))</f>
        <v/>
      </c>
      <c r="J11" s="7">
        <f>IF(E11="","",IF(COUNTIF(Lists!$F$5:$F$7,D11)=0,"–",IF(_xlfn.XLOOKUP(D11,Lists!$F$5:$F$7,Lists!$G$5:$G$7)=E11,"✓","✗ use "&amp;_xlfn.XLOOKUP(D11,Lists!$F$5:$F$7,Lists!$G$5:$G$7))))</f>
        <v/>
      </c>
      <c r="K11" s="7">
        <f>IF(F11="","",IF(COUNTIF(People!$A$5:$A$248,F11)&gt;0,"✓","✗ not found"))</f>
        <v/>
      </c>
      <c r="L11" s="7">
        <f>IF(H11="","",IF(H11=Lists!$J$5,"✓","✗ should be "&amp;TEXT(Lists!$J$5,"dd mmm yyyy")))</f>
        <v/>
      </c>
      <c r="M11" s="7">
        <f>IF(A11="","",IF(COUNTIF(I11:L11,"✗*")=0,"Ready","Fix "&amp;COUNTIF(I11:L11,"✗*")&amp;" issue(s)"))</f>
        <v/>
      </c>
    </row>
    <row r="12">
      <c r="A12" s="6" t="n"/>
      <c r="B12" s="7">
        <f>IF(A12="","",IFERROR(_xlfn.XLOOKUP(A12,Lists!$A$5:$A$8,Lists!$C$5:$C$8),"? unknown unit"))</f>
        <v/>
      </c>
      <c r="C12" s="6" t="n"/>
      <c r="D12" s="6" t="n"/>
      <c r="E12" s="6" t="n"/>
      <c r="F12" s="6" t="n"/>
      <c r="G12" s="6" t="n"/>
      <c r="H12" s="8" t="n"/>
      <c r="I12" s="7">
        <f>IF(D12="","",IF(COUNTIF(Lists!$F$5:$F$7,D12)&gt;0,"✓","✗ not in target"))</f>
        <v/>
      </c>
      <c r="J12" s="7">
        <f>IF(E12="","",IF(COUNTIF(Lists!$F$5:$F$7,D12)=0,"–",IF(_xlfn.XLOOKUP(D12,Lists!$F$5:$F$7,Lists!$G$5:$G$7)=E12,"✓","✗ use "&amp;_xlfn.XLOOKUP(D12,Lists!$F$5:$F$7,Lists!$G$5:$G$7))))</f>
        <v/>
      </c>
      <c r="K12" s="7">
        <f>IF(F12="","",IF(COUNTIF(People!$A$5:$A$248,F12)&gt;0,"✓","✗ not found"))</f>
        <v/>
      </c>
      <c r="L12" s="7">
        <f>IF(H12="","",IF(H12=Lists!$J$5,"✓","✗ should be "&amp;TEXT(Lists!$J$5,"dd mmm yyyy")))</f>
        <v/>
      </c>
      <c r="M12" s="7">
        <f>IF(A12="","",IF(COUNTIF(I12:L12,"✗*")=0,"Ready","Fix "&amp;COUNTIF(I12:L12,"✗*")&amp;" issue(s)"))</f>
        <v/>
      </c>
    </row>
    <row r="13">
      <c r="A13" s="6" t="n"/>
      <c r="B13" s="7">
        <f>IF(A13="","",IFERROR(_xlfn.XLOOKUP(A13,Lists!$A$5:$A$8,Lists!$C$5:$C$8),"? unknown unit"))</f>
        <v/>
      </c>
      <c r="C13" s="6" t="n"/>
      <c r="D13" s="6" t="n"/>
      <c r="E13" s="6" t="n"/>
      <c r="F13" s="6" t="n"/>
      <c r="G13" s="6" t="n"/>
      <c r="H13" s="8" t="n"/>
      <c r="I13" s="7">
        <f>IF(D13="","",IF(COUNTIF(Lists!$F$5:$F$7,D13)&gt;0,"✓","✗ not in target"))</f>
        <v/>
      </c>
      <c r="J13" s="7">
        <f>IF(E13="","",IF(COUNTIF(Lists!$F$5:$F$7,D13)=0,"–",IF(_xlfn.XLOOKUP(D13,Lists!$F$5:$F$7,Lists!$G$5:$G$7)=E13,"✓","✗ use "&amp;_xlfn.XLOOKUP(D13,Lists!$F$5:$F$7,Lists!$G$5:$G$7))))</f>
        <v/>
      </c>
      <c r="K13" s="7">
        <f>IF(F13="","",IF(COUNTIF(People!$A$5:$A$248,F13)&gt;0,"✓","✗ not found"))</f>
        <v/>
      </c>
      <c r="L13" s="7">
        <f>IF(H13="","",IF(H13=Lists!$J$5,"✓","✗ should be "&amp;TEXT(Lists!$J$5,"dd mmm yyyy")))</f>
        <v/>
      </c>
      <c r="M13" s="7">
        <f>IF(A13="","",IF(COUNTIF(I13:L13,"✗*")=0,"Ready","Fix "&amp;COUNTIF(I13:L13,"✗*")&amp;" issue(s)"))</f>
        <v/>
      </c>
    </row>
    <row r="14">
      <c r="A14" s="6" t="n"/>
      <c r="B14" s="7">
        <f>IF(A14="","",IFERROR(_xlfn.XLOOKUP(A14,Lists!$A$5:$A$8,Lists!$C$5:$C$8),"? unknown unit"))</f>
        <v/>
      </c>
      <c r="C14" s="6" t="n"/>
      <c r="D14" s="6" t="n"/>
      <c r="E14" s="6" t="n"/>
      <c r="F14" s="6" t="n"/>
      <c r="G14" s="6" t="n"/>
      <c r="H14" s="8" t="n"/>
      <c r="I14" s="7">
        <f>IF(D14="","",IF(COUNTIF(Lists!$F$5:$F$7,D14)&gt;0,"✓","✗ not in target"))</f>
        <v/>
      </c>
      <c r="J14" s="7">
        <f>IF(E14="","",IF(COUNTIF(Lists!$F$5:$F$7,D14)=0,"–",IF(_xlfn.XLOOKUP(D14,Lists!$F$5:$F$7,Lists!$G$5:$G$7)=E14,"✓","✗ use "&amp;_xlfn.XLOOKUP(D14,Lists!$F$5:$F$7,Lists!$G$5:$G$7))))</f>
        <v/>
      </c>
      <c r="K14" s="7">
        <f>IF(F14="","",IF(COUNTIF(People!$A$5:$A$248,F14)&gt;0,"✓","✗ not found"))</f>
        <v/>
      </c>
      <c r="L14" s="7">
        <f>IF(H14="","",IF(H14=Lists!$J$5,"✓","✗ should be "&amp;TEXT(Lists!$J$5,"dd mmm yyyy")))</f>
        <v/>
      </c>
      <c r="M14" s="7">
        <f>IF(A14="","",IF(COUNTIF(I14:L14,"✗*")=0,"Ready","Fix "&amp;COUNTIF(I14:L14,"✗*")&amp;" issue(s)"))</f>
        <v/>
      </c>
    </row>
    <row r="15">
      <c r="A15" s="6" t="n"/>
      <c r="B15" s="7">
        <f>IF(A15="","",IFERROR(_xlfn.XLOOKUP(A15,Lists!$A$5:$A$8,Lists!$C$5:$C$8),"? unknown unit"))</f>
        <v/>
      </c>
      <c r="C15" s="6" t="n"/>
      <c r="D15" s="6" t="n"/>
      <c r="E15" s="6" t="n"/>
      <c r="F15" s="6" t="n"/>
      <c r="G15" s="6" t="n"/>
      <c r="H15" s="8" t="n"/>
      <c r="I15" s="7">
        <f>IF(D15="","",IF(COUNTIF(Lists!$F$5:$F$7,D15)&gt;0,"✓","✗ not in target"))</f>
        <v/>
      </c>
      <c r="J15" s="7">
        <f>IF(E15="","",IF(COUNTIF(Lists!$F$5:$F$7,D15)=0,"–",IF(_xlfn.XLOOKUP(D15,Lists!$F$5:$F$7,Lists!$G$5:$G$7)=E15,"✓","✗ use "&amp;_xlfn.XLOOKUP(D15,Lists!$F$5:$F$7,Lists!$G$5:$G$7))))</f>
        <v/>
      </c>
      <c r="K15" s="7">
        <f>IF(F15="","",IF(COUNTIF(People!$A$5:$A$248,F15)&gt;0,"✓","✗ not found"))</f>
        <v/>
      </c>
      <c r="L15" s="7">
        <f>IF(H15="","",IF(H15=Lists!$J$5,"✓","✗ should be "&amp;TEXT(Lists!$J$5,"dd mmm yyyy")))</f>
        <v/>
      </c>
      <c r="M15" s="7">
        <f>IF(A15="","",IF(COUNTIF(I15:L15,"✗*")=0,"Ready","Fix "&amp;COUNTIF(I15:L15,"✗*")&amp;" issue(s)"))</f>
        <v/>
      </c>
    </row>
    <row r="16">
      <c r="A16" s="6" t="n"/>
      <c r="B16" s="7">
        <f>IF(A16="","",IFERROR(_xlfn.XLOOKUP(A16,Lists!$A$5:$A$8,Lists!$C$5:$C$8),"? unknown unit"))</f>
        <v/>
      </c>
      <c r="C16" s="6" t="n"/>
      <c r="D16" s="6" t="n"/>
      <c r="E16" s="6" t="n"/>
      <c r="F16" s="6" t="n"/>
      <c r="G16" s="6" t="n"/>
      <c r="H16" s="8" t="n"/>
      <c r="I16" s="7">
        <f>IF(D16="","",IF(COUNTIF(Lists!$F$5:$F$7,D16)&gt;0,"✓","✗ not in target"))</f>
        <v/>
      </c>
      <c r="J16" s="7">
        <f>IF(E16="","",IF(COUNTIF(Lists!$F$5:$F$7,D16)=0,"–",IF(_xlfn.XLOOKUP(D16,Lists!$F$5:$F$7,Lists!$G$5:$G$7)=E16,"✓","✗ use "&amp;_xlfn.XLOOKUP(D16,Lists!$F$5:$F$7,Lists!$G$5:$G$7))))</f>
        <v/>
      </c>
      <c r="K16" s="7">
        <f>IF(F16="","",IF(COUNTIF(People!$A$5:$A$248,F16)&gt;0,"✓","✗ not found"))</f>
        <v/>
      </c>
      <c r="L16" s="7">
        <f>IF(H16="","",IF(H16=Lists!$J$5,"✓","✗ should be "&amp;TEXT(Lists!$J$5,"dd mmm yyyy")))</f>
        <v/>
      </c>
      <c r="M16" s="7">
        <f>IF(A16="","",IF(COUNTIF(I16:L16,"✗*")=0,"Ready","Fix "&amp;COUNTIF(I16:L16,"✗*")&amp;" issue(s)"))</f>
        <v/>
      </c>
    </row>
  </sheetData>
  <conditionalFormatting sqref="I5:M16">
    <cfRule type="expression" priority="1" dxfId="0">
      <formula>LEFT(I5,1)="✗"</formula>
    </cfRule>
    <cfRule type="expression" priority="2" dxfId="0">
      <formula>LEFT(I5,3)="Fix"</formula>
    </cfRule>
    <cfRule type="expression" priority="3" dxfId="1">
      <formula>OR(I5="✓",I5="Ready")</formula>
    </cfRule>
  </conditionalFormatting>
  <dataValidations count="5">
    <dataValidation sqref="A5:A16" showDropDown="0" showInputMessage="0" showErrorMessage="0" allowBlank="1" errorTitle="Unknown unit" error="Pick a current unit from the list." type="list">
      <formula1>=Lists!$A$5:$A$8</formula1>
    </dataValidation>
    <dataValidation sqref="C5:C16" showDropDown="0" showInputMessage="0" showErrorMessage="0" allowBlank="1" type="list">
      <formula1>"Technology,Markets,Operations,Corporate Functions"</formula1>
    </dataValidation>
    <dataValidation sqref="D5:D16" showDropDown="0" showInputMessage="0" showErrorMessage="0" allowBlank="1" errorTitle="Not in the target structure" error="This unit is not in the approved target structure." type="list" errorStyle="warning">
      <formula1>=Lists!$F$5:$F$7</formula1>
    </dataValidation>
    <dataValidation sqref="E5:E16" showDropDown="0" showInputMessage="0" showErrorMessage="0" allowBlank="1" type="list" errorStyle="warning">
      <formula1>=Lists!$G$5:$G$7</formula1>
    </dataValidation>
    <dataValidation sqref="H5:H16" showDropDown="0" showInputMessage="0" showErrorMessage="0" allowBlank="1" type="date" operator="greaterThan">
      <formula1>DATE(2026,1,1)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1" customWidth="1" min="3" max="3"/>
    <col width="18" customWidth="1" min="4" max="4"/>
  </cols>
  <sheetData>
    <row r="1">
      <c r="A1" s="1" t="inlineStr">
        <is>
          <t>Coverage check</t>
        </is>
      </c>
    </row>
    <row r="2">
      <c r="A2" s="2" t="inlineStr">
        <is>
          <t>Every unit in scope must be mapped, and headcount must be the same before and after.</t>
        </is>
      </c>
    </row>
    <row r="4" ht="30" customHeight="1">
      <c r="A4" s="5" t="inlineStr">
        <is>
          <t>Current unit</t>
        </is>
      </c>
      <c r="B4" s="5" t="inlineStr">
        <is>
          <t>Cost center</t>
        </is>
      </c>
      <c r="C4" s="5" t="inlineStr">
        <is>
          <t>Positions</t>
        </is>
      </c>
      <c r="D4" s="5" t="inlineStr">
        <is>
          <t>Mapped?</t>
        </is>
      </c>
    </row>
    <row r="5">
      <c r="A5" s="7">
        <f>Lists!A5</f>
        <v/>
      </c>
      <c r="B5" s="7">
        <f>Lists!C5</f>
        <v/>
      </c>
      <c r="C5" s="7">
        <f>COUNTIF(People!$D$5:$D$248,A5)</f>
        <v/>
      </c>
      <c r="D5" s="7">
        <f>IF(COUNTIF(Mapping!$A$5:$A$16,A5)&gt;0,"✓ mapped","✗ NOT MAPPED")</f>
        <v/>
      </c>
    </row>
    <row r="6">
      <c r="A6" s="7">
        <f>Lists!A6</f>
        <v/>
      </c>
      <c r="B6" s="7">
        <f>Lists!C6</f>
        <v/>
      </c>
      <c r="C6" s="7">
        <f>COUNTIF(People!$D$5:$D$248,A6)</f>
        <v/>
      </c>
      <c r="D6" s="7">
        <f>IF(COUNTIF(Mapping!$A$5:$A$16,A6)&gt;0,"✓ mapped","✗ NOT MAPPED")</f>
        <v/>
      </c>
    </row>
    <row r="7">
      <c r="A7" s="7">
        <f>Lists!A7</f>
        <v/>
      </c>
      <c r="B7" s="7">
        <f>Lists!C7</f>
        <v/>
      </c>
      <c r="C7" s="7">
        <f>COUNTIF(People!$D$5:$D$248,A7)</f>
        <v/>
      </c>
      <c r="D7" s="7">
        <f>IF(COUNTIF(Mapping!$A$5:$A$16,A7)&gt;0,"✓ mapped","✗ NOT MAPPED")</f>
        <v/>
      </c>
    </row>
    <row r="8">
      <c r="A8" s="7">
        <f>Lists!A8</f>
        <v/>
      </c>
      <c r="B8" s="7">
        <f>Lists!C8</f>
        <v/>
      </c>
      <c r="C8" s="7">
        <f>COUNTIF(People!$D$5:$D$248,A8)</f>
        <v/>
      </c>
      <c r="D8" s="7">
        <f>IF(COUNTIF(Mapping!$A$5:$A$16,A8)&gt;0,"✓ mapped","✗ NOT MAPPED")</f>
        <v/>
      </c>
    </row>
    <row r="10">
      <c r="A10" s="4" t="inlineStr">
        <is>
          <t>Positions before</t>
        </is>
      </c>
      <c r="B10" s="9">
        <f>SUM(C5:C8)</f>
        <v/>
      </c>
    </row>
    <row r="11">
      <c r="A11" s="4" t="inlineStr">
        <is>
          <t>Positions mapped</t>
        </is>
      </c>
      <c r="B11" s="9">
        <f>SUMIF(D5:D8,"✓ mapped",C5:C8)</f>
        <v/>
      </c>
    </row>
    <row r="12">
      <c r="A12" s="4" t="inlineStr">
        <is>
          <t>Headcount reconciles?</t>
        </is>
      </c>
      <c r="B12" s="9">
        <f>IF(B10=B11,"✓ yes","✗ "&amp;B10-B11&amp;" positions unmapped")</f>
        <v/>
      </c>
    </row>
  </sheetData>
  <conditionalFormatting sqref="A5:D12">
    <cfRule type="expression" priority="1" dxfId="0">
      <formula>LEFT(A5,1)="✗"</formula>
    </cfRule>
    <cfRule type="expression" priority="2" dxfId="1">
      <formula>LEFT(A5,1)="✓"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2" customWidth="1" min="3" max="3"/>
    <col width="10" customWidth="1" min="4" max="4"/>
    <col width="3" customWidth="1" min="5" max="5"/>
    <col width="26" customWidth="1" min="6" max="6"/>
    <col width="14" customWidth="1" min="7" max="7"/>
    <col width="14" customWidth="1" min="8" max="8"/>
    <col width="3" customWidth="1" min="9" max="9"/>
    <col width="15" customWidth="1" min="10" max="10"/>
  </cols>
  <sheetData>
    <row r="1">
      <c r="A1" s="1" t="inlineStr">
        <is>
          <t>Reference lists</t>
        </is>
      </c>
    </row>
    <row r="2">
      <c r="A2" s="2" t="inlineStr">
        <is>
          <t>Maintained by People Analytics. Drop-downs and checks read from here.</t>
        </is>
      </c>
    </row>
    <row r="4" ht="30" customHeight="1">
      <c r="A4" s="5" t="inlineStr">
        <is>
          <t>Current unit</t>
        </is>
      </c>
      <c r="B4" s="5" t="inlineStr">
        <is>
          <t>Division</t>
        </is>
      </c>
      <c r="C4" s="5" t="inlineStr">
        <is>
          <t>Cost center</t>
        </is>
      </c>
      <c r="D4" s="5" t="inlineStr">
        <is>
          <t>Head</t>
        </is>
      </c>
      <c r="E4" s="5" t="inlineStr"/>
      <c r="F4" s="5" t="inlineStr">
        <is>
          <t>Target unit</t>
        </is>
      </c>
      <c r="G4" s="5" t="inlineStr">
        <is>
          <t>Target cost center</t>
        </is>
      </c>
      <c r="H4" s="5" t="inlineStr">
        <is>
          <t>Target division</t>
        </is>
      </c>
      <c r="I4" s="5" t="inlineStr"/>
      <c r="J4" s="5" t="inlineStr">
        <is>
          <t>Programme date</t>
        </is>
      </c>
    </row>
    <row r="5">
      <c r="A5" s="3" t="inlineStr">
        <is>
          <t>Market Data</t>
        </is>
      </c>
      <c r="B5" s="3" t="inlineStr">
        <is>
          <t>Markets</t>
        </is>
      </c>
      <c r="C5" s="3" t="inlineStr">
        <is>
          <t>CC-1300</t>
        </is>
      </c>
      <c r="D5" s="3" t="n">
        <v>100047</v>
      </c>
      <c r="F5" s="3" t="inlineStr">
        <is>
          <t>Platform &amp; Infrastructure</t>
        </is>
      </c>
      <c r="G5" s="3" t="inlineStr">
        <is>
          <t>CC-3150</t>
        </is>
      </c>
      <c r="H5" s="3" t="inlineStr">
        <is>
          <t>Technology</t>
        </is>
      </c>
      <c r="J5" s="10" t="n">
        <v>46204</v>
      </c>
    </row>
    <row r="6">
      <c r="A6" s="3" t="inlineStr">
        <is>
          <t>IT Infrastructure</t>
        </is>
      </c>
      <c r="B6" s="3" t="inlineStr">
        <is>
          <t>Technology</t>
        </is>
      </c>
      <c r="C6" s="3" t="inlineStr">
        <is>
          <t>CC-3200</t>
        </is>
      </c>
      <c r="D6" s="3" t="n">
        <v>100137</v>
      </c>
      <c r="F6" s="3" t="inlineStr">
        <is>
          <t>Data &amp; Analytics</t>
        </is>
      </c>
      <c r="G6" s="3" t="inlineStr">
        <is>
          <t>CC-3400</t>
        </is>
      </c>
      <c r="H6" s="3" t="inlineStr">
        <is>
          <t>Technology</t>
        </is>
      </c>
    </row>
    <row r="7">
      <c r="A7" s="3" t="inlineStr">
        <is>
          <t>Information Security</t>
        </is>
      </c>
      <c r="B7" s="3" t="inlineStr">
        <is>
          <t>Technology</t>
        </is>
      </c>
      <c r="C7" s="3" t="inlineStr">
        <is>
          <t>CC-3300</t>
        </is>
      </c>
      <c r="D7" s="3" t="n">
        <v>100292</v>
      </c>
      <c r="F7" s="3" t="inlineStr">
        <is>
          <t>Information Security</t>
        </is>
      </c>
      <c r="G7" s="3" t="inlineStr">
        <is>
          <t>CC-3300</t>
        </is>
      </c>
      <c r="H7" s="3" t="inlineStr">
        <is>
          <t>Technology</t>
        </is>
      </c>
    </row>
    <row r="8">
      <c r="A8" s="3" t="inlineStr">
        <is>
          <t>Platform Engineering</t>
        </is>
      </c>
      <c r="B8" s="3" t="inlineStr">
        <is>
          <t>Technology</t>
        </is>
      </c>
      <c r="C8" s="3" t="inlineStr">
        <is>
          <t>CC-3100</t>
        </is>
      </c>
      <c r="D8" s="3" t="n">
        <v>100101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26" customWidth="1" min="4" max="4"/>
  </cols>
  <sheetData>
    <row r="1">
      <c r="A1" s="1" t="inlineStr">
        <is>
          <t>Active employees, 30 June 2026</t>
        </is>
      </c>
    </row>
    <row r="2">
      <c r="A2" s="2" t="inlineStr">
        <is>
          <t>Pseudonymous IDs only (data minimisation). Used to check unit heads.</t>
        </is>
      </c>
    </row>
    <row r="4" ht="30" customHeight="1">
      <c r="A4" s="5" t="inlineStr">
        <is>
          <t>Person ID</t>
        </is>
      </c>
      <c r="B4" s="5" t="inlineStr">
        <is>
          <t>Job title</t>
        </is>
      </c>
      <c r="C4" s="5" t="inlineStr">
        <is>
          <t>Manager ID</t>
        </is>
      </c>
      <c r="D4" s="5" t="inlineStr">
        <is>
          <t>Department (if in scope)</t>
        </is>
      </c>
    </row>
    <row r="5">
      <c r="A5" s="3" t="n">
        <v>100054</v>
      </c>
      <c r="B5" s="3" t="inlineStr">
        <is>
          <t>Data Specialist</t>
        </is>
      </c>
      <c r="C5" s="3" t="n">
        <v>100048</v>
      </c>
      <c r="D5" s="3" t="inlineStr">
        <is>
          <t>Market Data</t>
        </is>
      </c>
    </row>
    <row r="6">
      <c r="A6" s="3" t="n">
        <v>100009</v>
      </c>
      <c r="B6" s="3" t="inlineStr">
        <is>
          <t>Markets Specialist</t>
        </is>
      </c>
      <c r="C6" s="3" t="n">
        <v>100007</v>
      </c>
      <c r="D6" s="3" t="inlineStr"/>
    </row>
    <row r="7">
      <c r="A7" s="3" t="n">
        <v>100227</v>
      </c>
      <c r="B7" s="3" t="inlineStr">
        <is>
          <t>External Consultant</t>
        </is>
      </c>
      <c r="C7" s="3" t="n">
        <v>100007</v>
      </c>
      <c r="D7" s="3" t="inlineStr"/>
    </row>
    <row r="8">
      <c r="A8" s="3" t="n">
        <v>100021</v>
      </c>
      <c r="B8" s="3" t="inlineStr">
        <is>
          <t>Markets Analyst</t>
        </is>
      </c>
      <c r="C8" s="3" t="n">
        <v>100032</v>
      </c>
      <c r="D8" s="3" t="inlineStr"/>
    </row>
    <row r="9">
      <c r="A9" s="3" t="n">
        <v>100176</v>
      </c>
      <c r="B9" s="3" t="inlineStr">
        <is>
          <t>Finance Expert</t>
        </is>
      </c>
      <c r="C9" s="3" t="n">
        <v>100170</v>
      </c>
      <c r="D9" s="3" t="inlineStr"/>
    </row>
    <row r="10">
      <c r="A10" s="3" t="n">
        <v>100190</v>
      </c>
      <c r="B10" s="3" t="inlineStr">
        <is>
          <t>HR Associate</t>
        </is>
      </c>
      <c r="C10" s="3" t="n">
        <v>100186</v>
      </c>
      <c r="D10" s="3" t="inlineStr"/>
    </row>
    <row r="11">
      <c r="A11" s="3" t="n">
        <v>100220</v>
      </c>
      <c r="B11" s="3" t="inlineStr">
        <is>
          <t>External Consultant</t>
        </is>
      </c>
      <c r="C11" s="3" t="n">
        <v>100104</v>
      </c>
      <c r="D11" s="3" t="inlineStr">
        <is>
          <t>Platform Engineering</t>
        </is>
      </c>
    </row>
    <row r="12">
      <c r="A12" s="3" t="n">
        <v>100214</v>
      </c>
      <c r="B12" s="3" t="inlineStr">
        <is>
          <t>Senior Risk Analyst</t>
        </is>
      </c>
      <c r="C12" s="3" t="n">
        <v>100210</v>
      </c>
      <c r="D12" s="3" t="inlineStr"/>
    </row>
    <row r="13">
      <c r="A13" s="3" t="n">
        <v>100195</v>
      </c>
      <c r="B13" s="3" t="inlineStr">
        <is>
          <t>HR Analyst</t>
        </is>
      </c>
      <c r="C13" s="3" t="n">
        <v>100186</v>
      </c>
      <c r="D13" s="3" t="inlineStr"/>
    </row>
    <row r="14">
      <c r="A14" s="3" t="n">
        <v>100113</v>
      </c>
      <c r="B14" s="3" t="inlineStr">
        <is>
          <t>Associate Engineer</t>
        </is>
      </c>
      <c r="C14" s="3" t="n">
        <v>100104</v>
      </c>
      <c r="D14" s="3" t="inlineStr">
        <is>
          <t>Platform Engineering</t>
        </is>
      </c>
    </row>
    <row r="15">
      <c r="A15" s="3" t="n">
        <v>100040</v>
      </c>
      <c r="B15" s="3" t="inlineStr">
        <is>
          <t>Markets Analyst</t>
        </is>
      </c>
      <c r="C15" s="3" t="n">
        <v>100032</v>
      </c>
      <c r="D15" s="3" t="inlineStr"/>
    </row>
    <row r="16">
      <c r="A16" s="3" t="n">
        <v>100230</v>
      </c>
      <c r="B16" s="3" t="inlineStr">
        <is>
          <t>Operations Analyst</t>
        </is>
      </c>
      <c r="C16" s="3" t="n">
        <v>100076</v>
      </c>
      <c r="D16" s="3" t="inlineStr"/>
    </row>
    <row r="17">
      <c r="A17" s="3" t="n">
        <v>100120</v>
      </c>
      <c r="B17" s="3" t="inlineStr">
        <is>
          <t>Engineer</t>
        </is>
      </c>
      <c r="C17" s="3" t="n">
        <v>100102</v>
      </c>
      <c r="D17" s="3" t="inlineStr">
        <is>
          <t>Platform Engineering</t>
        </is>
      </c>
    </row>
    <row r="18">
      <c r="A18" s="3" t="n">
        <v>100114</v>
      </c>
      <c r="B18" s="3" t="inlineStr">
        <is>
          <t>Engineer</t>
        </is>
      </c>
      <c r="C18" s="3" t="n">
        <v>100102</v>
      </c>
      <c r="D18" s="3" t="inlineStr">
        <is>
          <t>Platform Engineering</t>
        </is>
      </c>
    </row>
    <row r="19">
      <c r="A19" s="3" t="n">
        <v>100100</v>
      </c>
      <c r="B19" s="3" t="inlineStr">
        <is>
          <t>Head of Technology</t>
        </is>
      </c>
      <c r="C19" s="3" t="n">
        <v>100001</v>
      </c>
      <c r="D19" s="3" t="inlineStr">
        <is>
          <t>Platform Engineering</t>
        </is>
      </c>
    </row>
    <row r="20">
      <c r="A20" s="3" t="n">
        <v>100109</v>
      </c>
      <c r="B20" s="3" t="inlineStr">
        <is>
          <t>Senior Engineer</t>
        </is>
      </c>
      <c r="C20" s="3" t="n">
        <v>100103</v>
      </c>
      <c r="D20" s="3" t="inlineStr">
        <is>
          <t>Platform Engineering</t>
        </is>
      </c>
    </row>
    <row r="21">
      <c r="A21" s="3" t="n">
        <v>100097</v>
      </c>
      <c r="B21" s="3" t="inlineStr">
        <is>
          <t>Operations Analyst</t>
        </is>
      </c>
      <c r="C21" s="3" t="n">
        <v>100088</v>
      </c>
      <c r="D21" s="3" t="inlineStr"/>
    </row>
    <row r="22">
      <c r="A22" s="3" t="n">
        <v>100226</v>
      </c>
      <c r="B22" s="3" t="inlineStr">
        <is>
          <t>External Consultant</t>
        </is>
      </c>
      <c r="C22" s="3" t="n">
        <v>100076</v>
      </c>
      <c r="D22" s="3" t="inlineStr"/>
    </row>
    <row r="23">
      <c r="A23" s="3" t="n">
        <v>100236</v>
      </c>
      <c r="B23" s="3" t="inlineStr">
        <is>
          <t>Markets Associate</t>
        </is>
      </c>
      <c r="C23" s="3" t="n">
        <v>100032</v>
      </c>
      <c r="D23" s="3" t="inlineStr"/>
    </row>
    <row r="24">
      <c r="A24" s="3" t="n">
        <v>100286</v>
      </c>
      <c r="B24" s="3" t="inlineStr">
        <is>
          <t>Engineer</t>
        </is>
      </c>
      <c r="C24" s="3" t="n">
        <v>100102</v>
      </c>
      <c r="D24" s="3" t="inlineStr">
        <is>
          <t>Platform Engineering</t>
        </is>
      </c>
    </row>
    <row r="25">
      <c r="A25" s="3" t="n">
        <v>100256</v>
      </c>
      <c r="B25" s="3" t="inlineStr">
        <is>
          <t>Associate Engineer</t>
        </is>
      </c>
      <c r="C25" s="3" t="n">
        <v>100103</v>
      </c>
      <c r="D25" s="3" t="inlineStr">
        <is>
          <t>Platform Engineering</t>
        </is>
      </c>
    </row>
    <row r="26">
      <c r="A26" s="3" t="n">
        <v>100285</v>
      </c>
      <c r="B26" s="3" t="inlineStr">
        <is>
          <t>Data Associate</t>
        </is>
      </c>
      <c r="C26" s="3" t="n">
        <v>100048</v>
      </c>
      <c r="D26" s="3" t="inlineStr">
        <is>
          <t>Market Data</t>
        </is>
      </c>
    </row>
    <row r="27">
      <c r="A27" s="3" t="n">
        <v>100160</v>
      </c>
      <c r="B27" s="3" t="inlineStr">
        <is>
          <t>Principal Engineer</t>
        </is>
      </c>
      <c r="C27" s="3" t="n">
        <v>100292</v>
      </c>
      <c r="D27" s="3" t="inlineStr">
        <is>
          <t>Information Security</t>
        </is>
      </c>
    </row>
    <row r="28">
      <c r="A28" s="3" t="n">
        <v>100006</v>
      </c>
      <c r="B28" s="3" t="inlineStr">
        <is>
          <t>Team Lead, Trading Services</t>
        </is>
      </c>
      <c r="C28" s="3" t="n">
        <v>100005</v>
      </c>
      <c r="D28" s="3" t="inlineStr"/>
    </row>
    <row r="29">
      <c r="A29" s="3" t="n">
        <v>100273</v>
      </c>
      <c r="B29" s="3" t="inlineStr">
        <is>
          <t>Compliance Associate</t>
        </is>
      </c>
      <c r="C29" s="3" t="n">
        <v>100198</v>
      </c>
      <c r="D29" s="3" t="inlineStr"/>
    </row>
    <row r="30">
      <c r="A30" s="3" t="n">
        <v>100275</v>
      </c>
      <c r="B30" s="3" t="inlineStr">
        <is>
          <t>Senior Operations Analyst</t>
        </is>
      </c>
      <c r="C30" s="3" t="n">
        <v>100063</v>
      </c>
      <c r="D30" s="3" t="inlineStr"/>
    </row>
    <row r="31">
      <c r="A31" s="3" t="n">
        <v>100261</v>
      </c>
      <c r="B31" s="3" t="inlineStr">
        <is>
          <t>Operations Analyst</t>
        </is>
      </c>
      <c r="C31" s="3" t="n">
        <v>100076</v>
      </c>
      <c r="D31" s="3" t="inlineStr"/>
    </row>
    <row r="32">
      <c r="A32" s="3" t="n">
        <v>100116</v>
      </c>
      <c r="B32" s="3" t="inlineStr">
        <is>
          <t>Senior Engineer</t>
        </is>
      </c>
      <c r="C32" s="3" t="n">
        <v>100104</v>
      </c>
      <c r="D32" s="3" t="inlineStr">
        <is>
          <t>Platform Engineering</t>
        </is>
      </c>
    </row>
    <row r="33">
      <c r="A33" s="3" t="n">
        <v>100250</v>
      </c>
      <c r="B33" s="3" t="inlineStr">
        <is>
          <t>Operations Associate</t>
        </is>
      </c>
      <c r="C33" s="3" t="n">
        <v>100076</v>
      </c>
      <c r="D33" s="3" t="inlineStr"/>
    </row>
    <row r="34">
      <c r="A34" s="3" t="n">
        <v>100265</v>
      </c>
      <c r="B34" s="3" t="inlineStr">
        <is>
          <t>Engineer</t>
        </is>
      </c>
      <c r="C34" s="3" t="n">
        <v>100103</v>
      </c>
      <c r="D34" s="3" t="inlineStr">
        <is>
          <t>Platform Engineering</t>
        </is>
      </c>
    </row>
    <row r="35">
      <c r="A35" s="3" t="n">
        <v>100037</v>
      </c>
      <c r="B35" s="3" t="inlineStr">
        <is>
          <t>Markets Specialist</t>
        </is>
      </c>
      <c r="C35" s="3" t="n">
        <v>100032</v>
      </c>
      <c r="D35" s="3" t="inlineStr"/>
    </row>
    <row r="36">
      <c r="A36" s="3" t="n">
        <v>100130</v>
      </c>
      <c r="B36" s="3" t="inlineStr">
        <is>
          <t>Principal Engineer</t>
        </is>
      </c>
      <c r="C36" s="3" t="n">
        <v>100103</v>
      </c>
      <c r="D36" s="3" t="inlineStr">
        <is>
          <t>Platform Engineering</t>
        </is>
      </c>
    </row>
    <row r="37">
      <c r="A37" s="3" t="n">
        <v>100279</v>
      </c>
      <c r="B37" s="3" t="inlineStr">
        <is>
          <t>Operations Associate</t>
        </is>
      </c>
      <c r="C37" s="3" t="n">
        <v>100063</v>
      </c>
      <c r="D37" s="3" t="inlineStr"/>
    </row>
    <row r="38">
      <c r="A38" s="3" t="n">
        <v>100030</v>
      </c>
      <c r="B38" s="3" t="inlineStr">
        <is>
          <t>Senior Markets Analyst</t>
        </is>
      </c>
      <c r="C38" s="3" t="n">
        <v>100006</v>
      </c>
      <c r="D38" s="3" t="inlineStr"/>
    </row>
    <row r="39">
      <c r="A39" s="3" t="n">
        <v>100163</v>
      </c>
      <c r="B39" s="3" t="inlineStr">
        <is>
          <t>Senior Engineer</t>
        </is>
      </c>
      <c r="C39" s="3" t="n">
        <v>100292</v>
      </c>
      <c r="D39" s="3" t="inlineStr">
        <is>
          <t>Information Security</t>
        </is>
      </c>
    </row>
    <row r="40">
      <c r="A40" s="3" t="n">
        <v>100161</v>
      </c>
      <c r="B40" s="3" t="inlineStr">
        <is>
          <t>Principal Engineer</t>
        </is>
      </c>
      <c r="C40" s="3" t="n">
        <v>100292</v>
      </c>
      <c r="D40" s="3" t="inlineStr">
        <is>
          <t>Information Security</t>
        </is>
      </c>
    </row>
    <row r="41">
      <c r="A41" s="3" t="n">
        <v>100150</v>
      </c>
      <c r="B41" s="3" t="inlineStr">
        <is>
          <t>Associate Engineer</t>
        </is>
      </c>
      <c r="C41" s="3" t="n">
        <v>100138</v>
      </c>
      <c r="D41" s="3" t="inlineStr">
        <is>
          <t>IT Infrastructure</t>
        </is>
      </c>
    </row>
    <row r="42">
      <c r="A42" s="3" t="n">
        <v>100243</v>
      </c>
      <c r="B42" s="3" t="inlineStr">
        <is>
          <t>Senior Engineer</t>
        </is>
      </c>
      <c r="C42" s="3" t="n">
        <v>100103</v>
      </c>
      <c r="D42" s="3" t="inlineStr">
        <is>
          <t>Platform Engineering</t>
        </is>
      </c>
    </row>
    <row r="43">
      <c r="A43" s="3" t="n">
        <v>100010</v>
      </c>
      <c r="B43" s="3" t="inlineStr">
        <is>
          <t>Markets Analyst</t>
        </is>
      </c>
      <c r="C43" s="3" t="n">
        <v>100006</v>
      </c>
      <c r="D43" s="3" t="inlineStr"/>
    </row>
    <row r="44">
      <c r="A44" s="3" t="n">
        <v>100141</v>
      </c>
      <c r="B44" s="3" t="inlineStr">
        <is>
          <t>Principal Engineer</t>
        </is>
      </c>
      <c r="C44" s="3" t="n">
        <v>100139</v>
      </c>
      <c r="D44" s="3" t="inlineStr">
        <is>
          <t>IT Infrastructure</t>
        </is>
      </c>
    </row>
    <row r="45">
      <c r="A45" s="3" t="n">
        <v>100022</v>
      </c>
      <c r="B45" s="3" t="inlineStr">
        <is>
          <t>Markets Associate</t>
        </is>
      </c>
      <c r="C45" s="3" t="n">
        <v>100006</v>
      </c>
      <c r="D45" s="3" t="inlineStr"/>
    </row>
    <row r="46">
      <c r="A46" s="3" t="n">
        <v>100293</v>
      </c>
      <c r="B46" s="3" t="inlineStr">
        <is>
          <t>Operations Analyst</t>
        </is>
      </c>
      <c r="C46" s="3" t="n">
        <v>100063</v>
      </c>
      <c r="D46" s="3" t="inlineStr"/>
    </row>
    <row r="47">
      <c r="A47" s="3" t="n">
        <v>100005</v>
      </c>
      <c r="B47" s="3" t="inlineStr">
        <is>
          <t>Head of Trading Services</t>
        </is>
      </c>
      <c r="C47" s="3" t="n">
        <v>100004</v>
      </c>
      <c r="D47" s="3" t="inlineStr"/>
    </row>
    <row r="48">
      <c r="A48" s="3" t="n">
        <v>100026</v>
      </c>
      <c r="B48" s="3" t="inlineStr">
        <is>
          <t>Markets Analyst</t>
        </is>
      </c>
      <c r="C48" s="3" t="n">
        <v>100006</v>
      </c>
      <c r="D48" s="3" t="inlineStr"/>
    </row>
    <row r="49">
      <c r="A49" s="3" t="n">
        <v>100264</v>
      </c>
      <c r="B49" s="3" t="inlineStr">
        <is>
          <t>Finance Associate</t>
        </is>
      </c>
      <c r="C49" s="3" t="n">
        <v>100170</v>
      </c>
      <c r="D49" s="3" t="inlineStr"/>
    </row>
    <row r="50">
      <c r="A50" s="3" t="n">
        <v>100155</v>
      </c>
      <c r="B50" s="3" t="inlineStr">
        <is>
          <t>Associate Engineer</t>
        </is>
      </c>
      <c r="C50" s="3" t="n">
        <v>100139</v>
      </c>
      <c r="D50" s="3" t="inlineStr">
        <is>
          <t>IT Infrastructure</t>
        </is>
      </c>
    </row>
    <row r="51">
      <c r="A51" s="3" t="n">
        <v>100191</v>
      </c>
      <c r="B51" s="3" t="inlineStr">
        <is>
          <t>Senior HR Analyst</t>
        </is>
      </c>
      <c r="C51" s="3" t="n">
        <v>100186</v>
      </c>
      <c r="D51" s="3" t="inlineStr"/>
    </row>
    <row r="52">
      <c r="A52" s="3" t="n">
        <v>100170</v>
      </c>
      <c r="B52" s="3" t="inlineStr">
        <is>
          <t>Head of Finance</t>
        </is>
      </c>
      <c r="C52" s="3" t="n">
        <v>100169</v>
      </c>
      <c r="D52" s="3" t="inlineStr"/>
    </row>
    <row r="53">
      <c r="A53" s="3" t="n">
        <v>100177</v>
      </c>
      <c r="B53" s="3" t="inlineStr">
        <is>
          <t>Finance Analyst</t>
        </is>
      </c>
      <c r="C53" s="3" t="n">
        <v>100170</v>
      </c>
      <c r="D53" s="3" t="inlineStr"/>
    </row>
    <row r="54">
      <c r="A54" s="3" t="n">
        <v>100099</v>
      </c>
      <c r="B54" s="3" t="inlineStr">
        <is>
          <t>Operations Specialist</t>
        </is>
      </c>
      <c r="C54" s="3" t="n">
        <v>100088</v>
      </c>
      <c r="D54" s="3" t="inlineStr"/>
    </row>
    <row r="55">
      <c r="A55" s="3" t="n">
        <v>100076</v>
      </c>
      <c r="B55" s="3" t="inlineStr">
        <is>
          <t>Head of Settlement Operations</t>
        </is>
      </c>
      <c r="C55" s="3" t="n">
        <v>100061</v>
      </c>
      <c r="D55" s="3" t="inlineStr"/>
    </row>
    <row r="56">
      <c r="A56" s="3" t="n">
        <v>100252</v>
      </c>
      <c r="B56" s="3" t="inlineStr">
        <is>
          <t>Engineer</t>
        </is>
      </c>
      <c r="C56" s="3" t="n">
        <v>100139</v>
      </c>
      <c r="D56" s="3" t="inlineStr">
        <is>
          <t>IT Infrastructure</t>
        </is>
      </c>
    </row>
    <row r="57">
      <c r="A57" s="3" t="n">
        <v>100070</v>
      </c>
      <c r="B57" s="3" t="inlineStr">
        <is>
          <t>Senior Operations Analyst</t>
        </is>
      </c>
      <c r="C57" s="3" t="n">
        <v>100063</v>
      </c>
      <c r="D57" s="3" t="inlineStr"/>
    </row>
    <row r="58">
      <c r="A58" s="3" t="n">
        <v>100025</v>
      </c>
      <c r="B58" s="3" t="inlineStr">
        <is>
          <t>Markets Specialist</t>
        </is>
      </c>
      <c r="C58" s="3" t="n">
        <v>100007</v>
      </c>
      <c r="D58" s="3" t="inlineStr"/>
    </row>
    <row r="59">
      <c r="A59" s="3" t="n">
        <v>100035</v>
      </c>
      <c r="B59" s="3" t="inlineStr">
        <is>
          <t>Markets Analyst</t>
        </is>
      </c>
      <c r="C59" s="3" t="n">
        <v>100032</v>
      </c>
      <c r="D59" s="3" t="inlineStr"/>
    </row>
    <row r="60">
      <c r="A60" s="3" t="n">
        <v>100128</v>
      </c>
      <c r="B60" s="3" t="inlineStr">
        <is>
          <t>Engineer</t>
        </is>
      </c>
      <c r="C60" s="3" t="n">
        <v>100104</v>
      </c>
      <c r="D60" s="3" t="inlineStr">
        <is>
          <t>Platform Engineering</t>
        </is>
      </c>
    </row>
    <row r="61">
      <c r="A61" s="3" t="n">
        <v>100178</v>
      </c>
      <c r="B61" s="3" t="inlineStr">
        <is>
          <t>Senior Finance Analyst</t>
        </is>
      </c>
      <c r="C61" s="3" t="n">
        <v>100170</v>
      </c>
      <c r="D61" s="3" t="inlineStr"/>
    </row>
    <row r="62">
      <c r="A62" s="3" t="n">
        <v>100115</v>
      </c>
      <c r="B62" s="3" t="inlineStr">
        <is>
          <t>Senior Engineer</t>
        </is>
      </c>
      <c r="C62" s="3" t="n">
        <v>100103</v>
      </c>
      <c r="D62" s="3" t="inlineStr">
        <is>
          <t>Platform Engineering</t>
        </is>
      </c>
    </row>
    <row r="63">
      <c r="A63" s="3" t="n">
        <v>100011</v>
      </c>
      <c r="B63" s="3" t="inlineStr">
        <is>
          <t>Markets Specialist</t>
        </is>
      </c>
      <c r="C63" s="3" t="n">
        <v>100007</v>
      </c>
      <c r="D63" s="3" t="inlineStr"/>
    </row>
    <row r="64">
      <c r="A64" s="3" t="n">
        <v>100198</v>
      </c>
      <c r="B64" s="3" t="inlineStr">
        <is>
          <t>Head of Legal &amp; Compliance</t>
        </is>
      </c>
      <c r="C64" s="3" t="n">
        <v>100169</v>
      </c>
      <c r="D64" s="3" t="inlineStr"/>
    </row>
    <row r="65">
      <c r="A65" s="3" t="n">
        <v>100073</v>
      </c>
      <c r="B65" s="3" t="inlineStr">
        <is>
          <t>Operations Associate</t>
        </is>
      </c>
      <c r="C65" s="3" t="n">
        <v>100063</v>
      </c>
      <c r="D65" s="3" t="inlineStr"/>
    </row>
    <row r="66">
      <c r="A66" s="3" t="n">
        <v>100017</v>
      </c>
      <c r="B66" s="3" t="inlineStr">
        <is>
          <t>Senior Markets Analyst</t>
        </is>
      </c>
      <c r="C66" s="3" t="n">
        <v>100007</v>
      </c>
      <c r="D66" s="3" t="inlineStr"/>
    </row>
    <row r="67">
      <c r="A67" s="3" t="n">
        <v>100217</v>
      </c>
      <c r="B67" s="3" t="inlineStr">
        <is>
          <t>Risk Analyst</t>
        </is>
      </c>
      <c r="C67" s="3" t="n">
        <v>100210</v>
      </c>
      <c r="D67" s="3" t="inlineStr"/>
    </row>
    <row r="68">
      <c r="A68" s="3" t="n">
        <v>100102</v>
      </c>
      <c r="B68" s="3" t="inlineStr">
        <is>
          <t>Team Lead, Platform Engineering</t>
        </is>
      </c>
      <c r="C68" s="3" t="n">
        <v>100101</v>
      </c>
      <c r="D68" s="3" t="inlineStr">
        <is>
          <t>Platform Engineering</t>
        </is>
      </c>
    </row>
    <row r="69">
      <c r="A69" s="3" t="n">
        <v>100295</v>
      </c>
      <c r="B69" s="3" t="inlineStr">
        <is>
          <t>Operations Analyst</t>
        </is>
      </c>
      <c r="C69" s="3" t="n">
        <v>100076</v>
      </c>
      <c r="D69" s="3" t="inlineStr"/>
    </row>
    <row r="70">
      <c r="A70" s="3" t="n">
        <v>100002</v>
      </c>
      <c r="B70" s="3" t="inlineStr">
        <is>
          <t>Chief of Staff</t>
        </is>
      </c>
      <c r="C70" s="3" t="n">
        <v>100001</v>
      </c>
      <c r="D70" s="3" t="inlineStr"/>
    </row>
    <row r="71">
      <c r="A71" s="3" t="n">
        <v>100149</v>
      </c>
      <c r="B71" s="3" t="inlineStr">
        <is>
          <t>Associate Engineer</t>
        </is>
      </c>
      <c r="C71" s="3" t="n">
        <v>100139</v>
      </c>
      <c r="D71" s="3" t="inlineStr">
        <is>
          <t>IT Infrastructure</t>
        </is>
      </c>
    </row>
    <row r="72">
      <c r="A72" s="3" t="n">
        <v>100027</v>
      </c>
      <c r="B72" s="3" t="inlineStr">
        <is>
          <t>Markets Analyst</t>
        </is>
      </c>
      <c r="C72" s="3" t="n">
        <v>100007</v>
      </c>
      <c r="D72" s="3" t="inlineStr"/>
    </row>
    <row r="73">
      <c r="A73" s="3" t="n">
        <v>100269</v>
      </c>
      <c r="B73" s="3" t="inlineStr">
        <is>
          <t>Associate Engineer</t>
        </is>
      </c>
      <c r="C73" s="3" t="n">
        <v>100139</v>
      </c>
      <c r="D73" s="3" t="inlineStr">
        <is>
          <t>IT Infrastructure</t>
        </is>
      </c>
    </row>
    <row r="74">
      <c r="A74" s="3" t="n">
        <v>100216</v>
      </c>
      <c r="B74" s="3" t="inlineStr">
        <is>
          <t>Senior Risk Analyst</t>
        </is>
      </c>
      <c r="C74" s="3" t="n">
        <v>100210</v>
      </c>
      <c r="D74" s="3" t="inlineStr"/>
    </row>
    <row r="75">
      <c r="A75" s="3" t="n">
        <v>100045</v>
      </c>
      <c r="B75" s="3" t="inlineStr">
        <is>
          <t>Markets Analyst</t>
        </is>
      </c>
      <c r="C75" s="3" t="n">
        <v>100032</v>
      </c>
      <c r="D75" s="3" t="inlineStr"/>
    </row>
    <row r="76">
      <c r="A76" s="3" t="n">
        <v>100057</v>
      </c>
      <c r="B76" s="3" t="inlineStr">
        <is>
          <t>Markets Associate</t>
        </is>
      </c>
      <c r="C76" s="3" t="n">
        <v>100007</v>
      </c>
      <c r="D76" s="3" t="inlineStr"/>
    </row>
    <row r="77">
      <c r="A77" s="3" t="n">
        <v>100075</v>
      </c>
      <c r="B77" s="3" t="inlineStr">
        <is>
          <t>Senior Operations Analyst</t>
        </is>
      </c>
      <c r="C77" s="3" t="n">
        <v>100063</v>
      </c>
      <c r="D77" s="3" t="inlineStr"/>
    </row>
    <row r="78">
      <c r="A78" s="3" t="n">
        <v>100225</v>
      </c>
      <c r="B78" s="3" t="inlineStr">
        <is>
          <t>External Consultant</t>
        </is>
      </c>
      <c r="C78" s="3" t="n">
        <v>100292</v>
      </c>
      <c r="D78" s="3" t="inlineStr">
        <is>
          <t>Information Security</t>
        </is>
      </c>
    </row>
    <row r="79">
      <c r="A79" s="3" t="n">
        <v>100207</v>
      </c>
      <c r="B79" s="3" t="inlineStr">
        <is>
          <t>Compliance Associate</t>
        </is>
      </c>
      <c r="C79" s="3" t="n">
        <v>100198</v>
      </c>
      <c r="D79" s="3" t="inlineStr"/>
    </row>
    <row r="80">
      <c r="A80" s="3" t="n">
        <v>100179</v>
      </c>
      <c r="B80" s="3" t="inlineStr">
        <is>
          <t>Senior Finance Analyst</t>
        </is>
      </c>
      <c r="C80" s="3" t="n">
        <v>100170</v>
      </c>
      <c r="D80" s="3" t="inlineStr"/>
    </row>
    <row r="81">
      <c r="A81" s="3" t="n">
        <v>100066</v>
      </c>
      <c r="B81" s="3" t="inlineStr">
        <is>
          <t>Operations Analyst</t>
        </is>
      </c>
      <c r="C81" s="3" t="n">
        <v>100063</v>
      </c>
      <c r="D81" s="3" t="inlineStr"/>
    </row>
    <row r="82">
      <c r="A82" s="3" t="n">
        <v>100093</v>
      </c>
      <c r="B82" s="3" t="inlineStr">
        <is>
          <t>Operations Associate</t>
        </is>
      </c>
      <c r="C82" s="3" t="n">
        <v>100088</v>
      </c>
      <c r="D82" s="3" t="inlineStr"/>
    </row>
    <row r="83">
      <c r="A83" s="3" t="n">
        <v>100134</v>
      </c>
      <c r="B83" s="3" t="inlineStr">
        <is>
          <t>Senior Engineer</t>
        </is>
      </c>
      <c r="C83" s="3" t="n">
        <v>100104</v>
      </c>
      <c r="D83" s="3" t="inlineStr">
        <is>
          <t>Platform Engineering</t>
        </is>
      </c>
    </row>
    <row r="84">
      <c r="A84" s="3" t="n">
        <v>100136</v>
      </c>
      <c r="B84" s="3" t="inlineStr">
        <is>
          <t>Senior Engineer</t>
        </is>
      </c>
      <c r="C84" s="3" t="n">
        <v>100103</v>
      </c>
      <c r="D84" s="3" t="inlineStr">
        <is>
          <t>Platform Engineering</t>
        </is>
      </c>
    </row>
    <row r="85">
      <c r="A85" s="3" t="n">
        <v>100103</v>
      </c>
      <c r="B85" s="3" t="inlineStr">
        <is>
          <t>Team Lead, Platform Engineering</t>
        </is>
      </c>
      <c r="C85" s="3" t="n">
        <v>100101</v>
      </c>
      <c r="D85" s="3" t="inlineStr">
        <is>
          <t>Platform Engineering</t>
        </is>
      </c>
    </row>
    <row r="86">
      <c r="A86" s="3" t="n">
        <v>100023</v>
      </c>
      <c r="B86" s="3" t="inlineStr">
        <is>
          <t>Senior Markets Analyst</t>
        </is>
      </c>
      <c r="C86" s="3" t="n">
        <v>100007</v>
      </c>
      <c r="D86" s="3" t="inlineStr"/>
    </row>
    <row r="87">
      <c r="A87" s="3" t="n">
        <v>100044</v>
      </c>
      <c r="B87" s="3" t="inlineStr">
        <is>
          <t>Senior Markets Analyst</t>
        </is>
      </c>
      <c r="C87" s="3" t="n">
        <v>100032</v>
      </c>
      <c r="D87" s="3" t="inlineStr"/>
    </row>
    <row r="88">
      <c r="A88" s="3" t="n">
        <v>100296</v>
      </c>
      <c r="B88" s="3" t="inlineStr">
        <is>
          <t>Senior Engineer</t>
        </is>
      </c>
      <c r="C88" s="3" t="n">
        <v>100292</v>
      </c>
      <c r="D88" s="3" t="inlineStr">
        <is>
          <t>Information Security</t>
        </is>
      </c>
    </row>
    <row r="89">
      <c r="A89" s="3" t="n">
        <v>100033</v>
      </c>
      <c r="B89" s="3" t="inlineStr">
        <is>
          <t>Senior Markets Analyst</t>
        </is>
      </c>
      <c r="C89" s="3" t="n">
        <v>100032</v>
      </c>
      <c r="D89" s="3" t="inlineStr"/>
    </row>
    <row r="90">
      <c r="A90" s="3" t="n">
        <v>100038</v>
      </c>
      <c r="B90" s="3" t="inlineStr">
        <is>
          <t>Markets Associate</t>
        </is>
      </c>
      <c r="C90" s="3" t="n">
        <v>100032</v>
      </c>
      <c r="D90" s="3" t="inlineStr"/>
    </row>
    <row r="91">
      <c r="A91" s="3" t="n">
        <v>100288</v>
      </c>
      <c r="B91" s="3" t="inlineStr">
        <is>
          <t>Engineer</t>
        </is>
      </c>
      <c r="C91" s="3" t="n">
        <v>100102</v>
      </c>
      <c r="D91" s="3" t="inlineStr">
        <is>
          <t>Platform Engineering</t>
        </is>
      </c>
    </row>
    <row r="92">
      <c r="A92" s="3" t="n">
        <v>100092</v>
      </c>
      <c r="B92" s="3" t="inlineStr">
        <is>
          <t>Operations Analyst</t>
        </is>
      </c>
      <c r="C92" s="3" t="n">
        <v>100088</v>
      </c>
      <c r="D92" s="3" t="inlineStr"/>
    </row>
    <row r="93">
      <c r="A93" s="3" t="n">
        <v>100018</v>
      </c>
      <c r="B93" s="3" t="inlineStr">
        <is>
          <t>Markets Associate</t>
        </is>
      </c>
      <c r="C93" s="3" t="n">
        <v>100006</v>
      </c>
      <c r="D93" s="3" t="inlineStr"/>
    </row>
    <row r="94">
      <c r="A94" s="3" t="n">
        <v>100206</v>
      </c>
      <c r="B94" s="3" t="inlineStr">
        <is>
          <t>Compliance Analyst</t>
        </is>
      </c>
      <c r="C94" s="3" t="n">
        <v>100198</v>
      </c>
      <c r="D94" s="3" t="inlineStr"/>
    </row>
    <row r="95">
      <c r="A95" s="3" t="n">
        <v>100210</v>
      </c>
      <c r="B95" s="3" t="inlineStr">
        <is>
          <t>Head of Risk Management</t>
        </is>
      </c>
      <c r="C95" s="3" t="n">
        <v>100169</v>
      </c>
      <c r="D95" s="3" t="inlineStr"/>
    </row>
    <row r="96">
      <c r="A96" s="3" t="n">
        <v>100233</v>
      </c>
      <c r="B96" s="3" t="inlineStr">
        <is>
          <t>Risk Analyst</t>
        </is>
      </c>
      <c r="C96" s="3" t="n">
        <v>100210</v>
      </c>
      <c r="D96" s="3" t="inlineStr"/>
    </row>
    <row r="97">
      <c r="A97" s="3" t="n">
        <v>100253</v>
      </c>
      <c r="B97" s="3" t="inlineStr">
        <is>
          <t>Operations Associate</t>
        </is>
      </c>
      <c r="C97" s="3" t="n">
        <v>100088</v>
      </c>
      <c r="D97" s="3" t="inlineStr"/>
    </row>
    <row r="98">
      <c r="A98" s="3" t="n">
        <v>100280</v>
      </c>
      <c r="B98" s="3" t="inlineStr">
        <is>
          <t>Engineer</t>
        </is>
      </c>
      <c r="C98" s="3" t="n">
        <v>100139</v>
      </c>
      <c r="D98" s="3" t="inlineStr">
        <is>
          <t>IT Infrastructure</t>
        </is>
      </c>
    </row>
    <row r="99">
      <c r="A99" s="3" t="n">
        <v>100001</v>
      </c>
      <c r="B99" s="3" t="inlineStr">
        <is>
          <t>Chief Executive Officer</t>
        </is>
      </c>
      <c r="C99" s="3" t="n"/>
      <c r="D99" s="3" t="inlineStr"/>
    </row>
    <row r="100">
      <c r="A100" s="3" t="n">
        <v>100174</v>
      </c>
      <c r="B100" s="3" t="inlineStr">
        <is>
          <t>Finance Analyst</t>
        </is>
      </c>
      <c r="C100" s="3" t="n">
        <v>100170</v>
      </c>
      <c r="D100" s="3" t="inlineStr"/>
    </row>
    <row r="101">
      <c r="A101" s="3" t="n">
        <v>100292</v>
      </c>
      <c r="B101" s="3" t="inlineStr">
        <is>
          <t>Head of Information Security</t>
        </is>
      </c>
      <c r="C101" s="3" t="n">
        <v>100100</v>
      </c>
      <c r="D101" s="3" t="inlineStr">
        <is>
          <t>Information Security</t>
        </is>
      </c>
    </row>
    <row r="102">
      <c r="A102" s="3" t="n">
        <v>100242</v>
      </c>
      <c r="B102" s="3" t="inlineStr">
        <is>
          <t>Data Analyst</t>
        </is>
      </c>
      <c r="C102" s="3" t="n">
        <v>100048</v>
      </c>
      <c r="D102" s="3" t="inlineStr">
        <is>
          <t>Market Data</t>
        </is>
      </c>
    </row>
    <row r="103">
      <c r="A103" s="3" t="n">
        <v>100101</v>
      </c>
      <c r="B103" s="3" t="inlineStr">
        <is>
          <t>Head of Platform Engineering</t>
        </is>
      </c>
      <c r="C103" s="3" t="n">
        <v>100100</v>
      </c>
      <c r="D103" s="3" t="inlineStr">
        <is>
          <t>Platform Engineering</t>
        </is>
      </c>
    </row>
    <row r="104">
      <c r="A104" s="3" t="n">
        <v>100268</v>
      </c>
      <c r="B104" s="3" t="inlineStr">
        <is>
          <t>Operations Associate</t>
        </is>
      </c>
      <c r="C104" s="3" t="n">
        <v>100088</v>
      </c>
      <c r="D104" s="3" t="inlineStr"/>
    </row>
    <row r="105">
      <c r="A105" s="3" t="n">
        <v>100067</v>
      </c>
      <c r="B105" s="3" t="inlineStr">
        <is>
          <t>Senior Operations Analyst</t>
        </is>
      </c>
      <c r="C105" s="3" t="n">
        <v>100063</v>
      </c>
      <c r="D105" s="3" t="inlineStr"/>
    </row>
    <row r="106">
      <c r="A106" s="3" t="n">
        <v>100008</v>
      </c>
      <c r="B106" s="3" t="inlineStr">
        <is>
          <t>Markets Associate</t>
        </is>
      </c>
      <c r="C106" s="3" t="n">
        <v>100006</v>
      </c>
      <c r="D106" s="3" t="inlineStr"/>
    </row>
    <row r="107">
      <c r="A107" s="3" t="n">
        <v>100241</v>
      </c>
      <c r="B107" s="3" t="inlineStr">
        <is>
          <t>Markets Analyst</t>
        </is>
      </c>
      <c r="C107" s="3" t="n">
        <v>100007</v>
      </c>
      <c r="D107" s="3" t="inlineStr"/>
    </row>
    <row r="108">
      <c r="A108" s="3" t="n">
        <v>100082</v>
      </c>
      <c r="B108" s="3" t="inlineStr">
        <is>
          <t>Operations Analyst</t>
        </is>
      </c>
      <c r="C108" s="3" t="n">
        <v>100076</v>
      </c>
      <c r="D108" s="3" t="inlineStr"/>
    </row>
    <row r="109">
      <c r="A109" s="3" t="n">
        <v>100166</v>
      </c>
      <c r="B109" s="3" t="inlineStr">
        <is>
          <t>Associate Engineer</t>
        </is>
      </c>
      <c r="C109" s="3" t="n">
        <v>100292</v>
      </c>
      <c r="D109" s="3" t="inlineStr">
        <is>
          <t>Information Security</t>
        </is>
      </c>
    </row>
    <row r="110">
      <c r="A110" s="3" t="n">
        <v>100255</v>
      </c>
      <c r="B110" s="3" t="inlineStr">
        <is>
          <t>Risk Analyst</t>
        </is>
      </c>
      <c r="C110" s="3" t="n">
        <v>100210</v>
      </c>
      <c r="D110" s="3" t="inlineStr"/>
    </row>
    <row r="111">
      <c r="A111" s="3" t="n">
        <v>100156</v>
      </c>
      <c r="B111" s="3" t="inlineStr">
        <is>
          <t>Engineer</t>
        </is>
      </c>
      <c r="C111" s="3" t="n">
        <v>100138</v>
      </c>
      <c r="D111" s="3" t="inlineStr">
        <is>
          <t>IT Infrastructure</t>
        </is>
      </c>
    </row>
    <row r="112">
      <c r="A112" s="3" t="n">
        <v>100200</v>
      </c>
      <c r="B112" s="3" t="inlineStr">
        <is>
          <t>Compliance Analyst</t>
        </is>
      </c>
      <c r="C112" s="3" t="n">
        <v>100198</v>
      </c>
      <c r="D112" s="3" t="inlineStr"/>
    </row>
    <row r="113">
      <c r="A113" s="3" t="n">
        <v>100196</v>
      </c>
      <c r="B113" s="3" t="inlineStr">
        <is>
          <t>HR Analyst</t>
        </is>
      </c>
      <c r="C113" s="3" t="n">
        <v>100186</v>
      </c>
      <c r="D113" s="3" t="inlineStr"/>
    </row>
    <row r="114">
      <c r="A114" s="3" t="n">
        <v>100016</v>
      </c>
      <c r="B114" s="3" t="inlineStr">
        <is>
          <t>Markets Analyst</t>
        </is>
      </c>
      <c r="C114" s="3" t="n">
        <v>100006</v>
      </c>
      <c r="D114" s="3" t="inlineStr"/>
    </row>
    <row r="115">
      <c r="A115" s="3" t="n">
        <v>100287</v>
      </c>
      <c r="B115" s="3" t="inlineStr">
        <is>
          <t>Data Analyst</t>
        </is>
      </c>
      <c r="C115" s="3" t="n">
        <v>100048</v>
      </c>
      <c r="D115" s="3" t="inlineStr">
        <is>
          <t>Market Data</t>
        </is>
      </c>
    </row>
    <row r="116">
      <c r="A116" s="3" t="n">
        <v>100123</v>
      </c>
      <c r="B116" s="3" t="inlineStr">
        <is>
          <t>Senior Engineer</t>
        </is>
      </c>
      <c r="C116" s="3" t="n">
        <v>100102</v>
      </c>
      <c r="D116" s="3" t="inlineStr">
        <is>
          <t>Platform Engineering</t>
        </is>
      </c>
    </row>
    <row r="117">
      <c r="A117" s="3" t="n">
        <v>100094</v>
      </c>
      <c r="B117" s="3" t="inlineStr">
        <is>
          <t>Senior Operations Analyst</t>
        </is>
      </c>
      <c r="C117" s="3" t="n">
        <v>100088</v>
      </c>
      <c r="D117" s="3" t="inlineStr"/>
    </row>
    <row r="118">
      <c r="A118" s="3" t="n">
        <v>100154</v>
      </c>
      <c r="B118" s="3" t="inlineStr">
        <is>
          <t>Principal Engineer</t>
        </is>
      </c>
      <c r="C118" s="3" t="n">
        <v>100138</v>
      </c>
      <c r="D118" s="3" t="inlineStr">
        <is>
          <t>IT Infrastructure</t>
        </is>
      </c>
    </row>
    <row r="119">
      <c r="A119" s="3" t="n">
        <v>100079</v>
      </c>
      <c r="B119" s="3" t="inlineStr">
        <is>
          <t>Senior Operations Analyst</t>
        </is>
      </c>
      <c r="C119" s="3" t="n">
        <v>100076</v>
      </c>
      <c r="D119" s="3" t="inlineStr"/>
    </row>
    <row r="120">
      <c r="A120" s="3" t="n">
        <v>100118</v>
      </c>
      <c r="B120" s="3" t="inlineStr">
        <is>
          <t>Senior Engineer</t>
        </is>
      </c>
      <c r="C120" s="3" t="n">
        <v>100103</v>
      </c>
      <c r="D120" s="3" t="inlineStr">
        <is>
          <t>Platform Engineering</t>
        </is>
      </c>
    </row>
    <row r="121">
      <c r="A121" s="3" t="n">
        <v>100111</v>
      </c>
      <c r="B121" s="3" t="inlineStr">
        <is>
          <t>Associate Engineer</t>
        </is>
      </c>
      <c r="C121" s="3" t="n">
        <v>100102</v>
      </c>
      <c r="D121" s="3" t="inlineStr">
        <is>
          <t>Platform Engineering</t>
        </is>
      </c>
    </row>
    <row r="122">
      <c r="A122" s="3" t="n">
        <v>100215</v>
      </c>
      <c r="B122" s="3" t="inlineStr">
        <is>
          <t>Risk Expert</t>
        </is>
      </c>
      <c r="C122" s="3" t="n">
        <v>100210</v>
      </c>
      <c r="D122" s="3" t="inlineStr"/>
    </row>
    <row r="123">
      <c r="A123" s="3" t="n">
        <v>100263</v>
      </c>
      <c r="B123" s="3" t="inlineStr">
        <is>
          <t>Engineer</t>
        </is>
      </c>
      <c r="C123" s="3" t="n">
        <v>100292</v>
      </c>
      <c r="D123" s="3" t="inlineStr">
        <is>
          <t>Information Security</t>
        </is>
      </c>
    </row>
    <row r="124">
      <c r="A124" s="3" t="n">
        <v>100282</v>
      </c>
      <c r="B124" s="3" t="inlineStr">
        <is>
          <t>Engineer</t>
        </is>
      </c>
      <c r="C124" s="3" t="n">
        <v>100138</v>
      </c>
      <c r="D124" s="3" t="inlineStr">
        <is>
          <t>IT Infrastructure</t>
        </is>
      </c>
    </row>
    <row r="125">
      <c r="A125" s="3" t="n">
        <v>100270</v>
      </c>
      <c r="B125" s="3" t="inlineStr">
        <is>
          <t>Operations Analyst</t>
        </is>
      </c>
      <c r="C125" s="3" t="n">
        <v>100076</v>
      </c>
      <c r="D125" s="3" t="inlineStr"/>
    </row>
    <row r="126">
      <c r="A126" s="3" t="n">
        <v>100192</v>
      </c>
      <c r="B126" s="3" t="inlineStr">
        <is>
          <t>HR Associate</t>
        </is>
      </c>
      <c r="C126" s="3" t="n">
        <v>100186</v>
      </c>
      <c r="D126" s="3" t="inlineStr"/>
    </row>
    <row r="127">
      <c r="A127" s="3" t="n">
        <v>100173</v>
      </c>
      <c r="B127" s="3" t="inlineStr">
        <is>
          <t>Finance Associate</t>
        </is>
      </c>
      <c r="C127" s="3" t="n">
        <v>100170</v>
      </c>
      <c r="D127" s="3" t="inlineStr"/>
    </row>
    <row r="128">
      <c r="A128" s="3" t="n">
        <v>100083</v>
      </c>
      <c r="B128" s="3" t="inlineStr">
        <is>
          <t>Operations Analyst</t>
        </is>
      </c>
      <c r="C128" s="3" t="n">
        <v>100076</v>
      </c>
      <c r="D128" s="3" t="inlineStr"/>
    </row>
    <row r="129">
      <c r="A129" s="3" t="n">
        <v>100087</v>
      </c>
      <c r="B129" s="3" t="inlineStr">
        <is>
          <t>Operations Associate</t>
        </is>
      </c>
      <c r="C129" s="3" t="n">
        <v>100076</v>
      </c>
      <c r="D129" s="3" t="inlineStr"/>
    </row>
    <row r="130">
      <c r="A130" s="3" t="n">
        <v>100133</v>
      </c>
      <c r="B130" s="3" t="inlineStr">
        <is>
          <t>Engineer</t>
        </is>
      </c>
      <c r="C130" s="3" t="n">
        <v>100103</v>
      </c>
      <c r="D130" s="3" t="inlineStr">
        <is>
          <t>Platform Engineering</t>
        </is>
      </c>
    </row>
    <row r="131">
      <c r="A131" s="3" t="n">
        <v>100194</v>
      </c>
      <c r="B131" s="3" t="inlineStr">
        <is>
          <t>HR Expert</t>
        </is>
      </c>
      <c r="C131" s="3" t="n">
        <v>100186</v>
      </c>
      <c r="D131" s="3" t="inlineStr"/>
    </row>
    <row r="132">
      <c r="A132" s="3" t="n">
        <v>100183</v>
      </c>
      <c r="B132" s="3" t="inlineStr">
        <is>
          <t>Finance Analyst</t>
        </is>
      </c>
      <c r="C132" s="3" t="n">
        <v>100170</v>
      </c>
      <c r="D132" s="3" t="inlineStr"/>
    </row>
    <row r="133">
      <c r="A133" s="3" t="n">
        <v>100053</v>
      </c>
      <c r="B133" s="3" t="inlineStr">
        <is>
          <t>Data Analyst</t>
        </is>
      </c>
      <c r="C133" s="3" t="n">
        <v>100048</v>
      </c>
      <c r="D133" s="3" t="inlineStr">
        <is>
          <t>Market Data</t>
        </is>
      </c>
    </row>
    <row r="134">
      <c r="A134" s="3" t="n">
        <v>100222</v>
      </c>
      <c r="B134" s="3" t="inlineStr">
        <is>
          <t>External Consultant</t>
        </is>
      </c>
      <c r="C134" s="3" t="n">
        <v>100103</v>
      </c>
      <c r="D134" s="3" t="inlineStr">
        <is>
          <t>Platform Engineering</t>
        </is>
      </c>
    </row>
    <row r="135">
      <c r="A135" s="3" t="n">
        <v>100189</v>
      </c>
      <c r="B135" s="3" t="inlineStr">
        <is>
          <t>Senior HR Analyst</t>
        </is>
      </c>
      <c r="C135" s="3" t="n">
        <v>100186</v>
      </c>
      <c r="D135" s="3" t="inlineStr"/>
    </row>
    <row r="136">
      <c r="A136" s="3" t="n">
        <v>100090</v>
      </c>
      <c r="B136" s="3" t="inlineStr">
        <is>
          <t>Senior Operations Analyst</t>
        </is>
      </c>
      <c r="C136" s="3" t="n">
        <v>100088</v>
      </c>
      <c r="D136" s="3" t="inlineStr"/>
    </row>
    <row r="137">
      <c r="A137" s="3" t="n">
        <v>100294</v>
      </c>
      <c r="B137" s="3" t="inlineStr">
        <is>
          <t>Finance Expert</t>
        </is>
      </c>
      <c r="C137" s="3" t="n">
        <v>100170</v>
      </c>
      <c r="D137" s="3" t="inlineStr"/>
    </row>
    <row r="138">
      <c r="A138" s="3" t="n">
        <v>100062</v>
      </c>
      <c r="B138" s="3" t="inlineStr">
        <is>
          <t>Head of Clearing Operations</t>
        </is>
      </c>
      <c r="C138" s="3" t="n">
        <v>100061</v>
      </c>
      <c r="D138" s="3" t="inlineStr"/>
    </row>
    <row r="139">
      <c r="A139" s="3" t="n">
        <v>100129</v>
      </c>
      <c r="B139" s="3" t="inlineStr">
        <is>
          <t>Engineer</t>
        </is>
      </c>
      <c r="C139" s="3" t="n">
        <v>100102</v>
      </c>
      <c r="D139" s="3" t="inlineStr">
        <is>
          <t>Platform Engineering</t>
        </is>
      </c>
    </row>
    <row r="140">
      <c r="A140" s="3" t="n">
        <v>100110</v>
      </c>
      <c r="B140" s="3" t="inlineStr">
        <is>
          <t>Senior Engineer</t>
        </is>
      </c>
      <c r="C140" s="3" t="n">
        <v>100104</v>
      </c>
      <c r="D140" s="3" t="inlineStr">
        <is>
          <t>Platform Engineering</t>
        </is>
      </c>
    </row>
    <row r="141">
      <c r="A141" s="3" t="n">
        <v>100105</v>
      </c>
      <c r="B141" s="3" t="inlineStr">
        <is>
          <t>Engineer</t>
        </is>
      </c>
      <c r="C141" s="3" t="n">
        <v>100102</v>
      </c>
      <c r="D141" s="3" t="inlineStr">
        <is>
          <t>Platform Engineering</t>
        </is>
      </c>
    </row>
    <row r="142">
      <c r="A142" s="3" t="n">
        <v>100276</v>
      </c>
      <c r="B142" s="3" t="inlineStr">
        <is>
          <t>Operations Analyst</t>
        </is>
      </c>
      <c r="C142" s="3" t="n">
        <v>100063</v>
      </c>
      <c r="D142" s="3" t="inlineStr"/>
    </row>
    <row r="143">
      <c r="A143" s="3" t="n">
        <v>100197</v>
      </c>
      <c r="B143" s="3" t="inlineStr">
        <is>
          <t>HR Analyst</t>
        </is>
      </c>
      <c r="C143" s="3" t="n">
        <v>100186</v>
      </c>
      <c r="D143" s="3" t="inlineStr"/>
    </row>
    <row r="144">
      <c r="A144" s="3" t="n">
        <v>100167</v>
      </c>
      <c r="B144" s="3" t="inlineStr">
        <is>
          <t>Engineer</t>
        </is>
      </c>
      <c r="C144" s="3" t="n">
        <v>100292</v>
      </c>
      <c r="D144" s="3" t="inlineStr">
        <is>
          <t>Information Security</t>
        </is>
      </c>
    </row>
    <row r="145">
      <c r="A145" s="3" t="n">
        <v>100147</v>
      </c>
      <c r="B145" s="3" t="inlineStr">
        <is>
          <t>Principal Engineer</t>
        </is>
      </c>
      <c r="C145" s="3" t="n">
        <v>100139</v>
      </c>
      <c r="D145" s="3" t="inlineStr">
        <is>
          <t>IT Infrastructure</t>
        </is>
      </c>
    </row>
    <row r="146">
      <c r="A146" s="3" t="n">
        <v>100258</v>
      </c>
      <c r="B146" s="3" t="inlineStr">
        <is>
          <t>Risk Analyst</t>
        </is>
      </c>
      <c r="C146" s="3" t="n">
        <v>100210</v>
      </c>
      <c r="D146" s="3" t="inlineStr"/>
    </row>
    <row r="147">
      <c r="A147" s="3" t="n">
        <v>100290</v>
      </c>
      <c r="B147" s="3" t="inlineStr">
        <is>
          <t>Principal Engineer</t>
        </is>
      </c>
      <c r="C147" s="3" t="n">
        <v>100139</v>
      </c>
      <c r="D147" s="3" t="inlineStr">
        <is>
          <t>IT Infrastructure</t>
        </is>
      </c>
    </row>
    <row r="148">
      <c r="A148" s="3" t="n">
        <v>100015</v>
      </c>
      <c r="B148" s="3" t="inlineStr">
        <is>
          <t>Markets Analyst</t>
        </is>
      </c>
      <c r="C148" s="3" t="n">
        <v>100007</v>
      </c>
      <c r="D148" s="3" t="inlineStr"/>
    </row>
    <row r="149">
      <c r="A149" s="3" t="n">
        <v>100072</v>
      </c>
      <c r="B149" s="3" t="inlineStr">
        <is>
          <t>Senior Operations Analyst</t>
        </is>
      </c>
      <c r="C149" s="3" t="n">
        <v>100063</v>
      </c>
      <c r="D149" s="3" t="inlineStr"/>
    </row>
    <row r="150">
      <c r="A150" s="3" t="n">
        <v>100122</v>
      </c>
      <c r="B150" s="3" t="inlineStr">
        <is>
          <t>Principal Engineer</t>
        </is>
      </c>
      <c r="C150" s="3" t="n">
        <v>100104</v>
      </c>
      <c r="D150" s="3" t="inlineStr">
        <is>
          <t>Platform Engineering</t>
        </is>
      </c>
    </row>
    <row r="151">
      <c r="A151" s="3" t="n">
        <v>100185</v>
      </c>
      <c r="B151" s="3" t="inlineStr">
        <is>
          <t>Senior Finance Analyst</t>
        </is>
      </c>
      <c r="C151" s="3" t="n">
        <v>100170</v>
      </c>
      <c r="D151" s="3" t="inlineStr"/>
    </row>
    <row r="152">
      <c r="A152" s="3" t="n">
        <v>100013</v>
      </c>
      <c r="B152" s="3" t="inlineStr">
        <is>
          <t>Senior Markets Analyst</t>
        </is>
      </c>
      <c r="C152" s="3" t="n">
        <v>100007</v>
      </c>
      <c r="D152" s="3" t="inlineStr"/>
    </row>
    <row r="153">
      <c r="A153" s="3" t="n">
        <v>100046</v>
      </c>
      <c r="B153" s="3" t="inlineStr">
        <is>
          <t>Markets Associate</t>
        </is>
      </c>
      <c r="C153" s="3" t="n">
        <v>100032</v>
      </c>
      <c r="D153" s="3" t="inlineStr"/>
    </row>
    <row r="154">
      <c r="A154" s="3" t="n">
        <v>100042</v>
      </c>
      <c r="B154" s="3" t="inlineStr">
        <is>
          <t>Markets Analyst</t>
        </is>
      </c>
      <c r="C154" s="3" t="n">
        <v>100032</v>
      </c>
      <c r="D154" s="3" t="inlineStr"/>
    </row>
    <row r="155">
      <c r="A155" s="3" t="n">
        <v>100223</v>
      </c>
      <c r="B155" s="3" t="inlineStr">
        <is>
          <t>External Consultant</t>
        </is>
      </c>
      <c r="C155" s="3" t="n">
        <v>100139</v>
      </c>
      <c r="D155" s="3" t="inlineStr">
        <is>
          <t>IT Infrastructure</t>
        </is>
      </c>
    </row>
    <row r="156">
      <c r="A156" s="3" t="n">
        <v>100051</v>
      </c>
      <c r="B156" s="3" t="inlineStr">
        <is>
          <t>Data Associate</t>
        </is>
      </c>
      <c r="C156" s="3" t="n">
        <v>100048</v>
      </c>
      <c r="D156" s="3" t="inlineStr">
        <is>
          <t>Market Data</t>
        </is>
      </c>
    </row>
    <row r="157">
      <c r="A157" s="3" t="n">
        <v>100164</v>
      </c>
      <c r="B157" s="3" t="inlineStr">
        <is>
          <t>Senior Engineer</t>
        </is>
      </c>
      <c r="C157" s="3" t="n">
        <v>100292</v>
      </c>
      <c r="D157" s="3" t="inlineStr">
        <is>
          <t>Information Security</t>
        </is>
      </c>
    </row>
    <row r="158">
      <c r="A158" s="3" t="n">
        <v>100148</v>
      </c>
      <c r="B158" s="3" t="inlineStr">
        <is>
          <t>Principal Engineer</t>
        </is>
      </c>
      <c r="C158" s="3" t="n">
        <v>100138</v>
      </c>
      <c r="D158" s="3" t="inlineStr">
        <is>
          <t>IT Infrastructure</t>
        </is>
      </c>
    </row>
    <row r="159">
      <c r="A159" s="3" t="n">
        <v>100061</v>
      </c>
      <c r="B159" s="3" t="inlineStr">
        <is>
          <t>Head of Operations</t>
        </is>
      </c>
      <c r="C159" s="3" t="n">
        <v>100001</v>
      </c>
      <c r="D159" s="3" t="inlineStr"/>
    </row>
    <row r="160">
      <c r="A160" s="3" t="n">
        <v>100247</v>
      </c>
      <c r="B160" s="3" t="inlineStr">
        <is>
          <t>Senior Engineer</t>
        </is>
      </c>
      <c r="C160" s="3" t="n">
        <v>100102</v>
      </c>
      <c r="D160" s="3" t="inlineStr">
        <is>
          <t>Platform Engineering</t>
        </is>
      </c>
    </row>
    <row r="161">
      <c r="A161" s="3" t="n">
        <v>100239</v>
      </c>
      <c r="B161" s="3" t="inlineStr">
        <is>
          <t>HR Analyst</t>
        </is>
      </c>
      <c r="C161" s="3" t="n">
        <v>100186</v>
      </c>
      <c r="D161" s="3" t="inlineStr"/>
    </row>
    <row r="162">
      <c r="A162" s="3" t="n">
        <v>100014</v>
      </c>
      <c r="B162" s="3" t="inlineStr">
        <is>
          <t>Senior Markets Analyst</t>
        </is>
      </c>
      <c r="C162" s="3" t="n">
        <v>100032</v>
      </c>
      <c r="D162" s="3" t="inlineStr"/>
    </row>
    <row r="163">
      <c r="A163" s="3" t="n">
        <v>100158</v>
      </c>
      <c r="B163" s="3" t="inlineStr">
        <is>
          <t>Engineer</t>
        </is>
      </c>
      <c r="C163" s="3" t="n">
        <v>100292</v>
      </c>
      <c r="D163" s="3" t="inlineStr">
        <is>
          <t>Information Security</t>
        </is>
      </c>
    </row>
    <row r="164">
      <c r="A164" s="3" t="n">
        <v>100131</v>
      </c>
      <c r="B164" s="3" t="inlineStr">
        <is>
          <t>Engineer</t>
        </is>
      </c>
      <c r="C164" s="3" t="n">
        <v>100104</v>
      </c>
      <c r="D164" s="3" t="inlineStr">
        <is>
          <t>Platform Engineering</t>
        </is>
      </c>
    </row>
    <row r="165">
      <c r="A165" s="3" t="n">
        <v>100297</v>
      </c>
      <c r="B165" s="3" t="inlineStr">
        <is>
          <t>Markets Associate</t>
        </is>
      </c>
      <c r="C165" s="3" t="n">
        <v>100032</v>
      </c>
      <c r="D165" s="3" t="inlineStr"/>
    </row>
    <row r="166">
      <c r="A166" s="3" t="n">
        <v>100180</v>
      </c>
      <c r="B166" s="3" t="inlineStr">
        <is>
          <t>Finance Associate</t>
        </is>
      </c>
      <c r="C166" s="3" t="n">
        <v>100170</v>
      </c>
      <c r="D166" s="3" t="inlineStr"/>
    </row>
    <row r="167">
      <c r="A167" s="3" t="n">
        <v>100121</v>
      </c>
      <c r="B167" s="3" t="inlineStr">
        <is>
          <t>Senior Engineer</t>
        </is>
      </c>
      <c r="C167" s="3" t="n">
        <v>100103</v>
      </c>
      <c r="D167" s="3" t="inlineStr">
        <is>
          <t>Platform Engineering</t>
        </is>
      </c>
    </row>
    <row r="168">
      <c r="A168" s="3" t="n">
        <v>100168</v>
      </c>
      <c r="B168" s="3" t="inlineStr">
        <is>
          <t>Senior Engineer</t>
        </is>
      </c>
      <c r="C168" s="3" t="n">
        <v>100292</v>
      </c>
      <c r="D168" s="3" t="inlineStr">
        <is>
          <t>Information Security</t>
        </is>
      </c>
    </row>
    <row r="169">
      <c r="A169" s="3" t="n">
        <v>100031</v>
      </c>
      <c r="B169" s="3" t="inlineStr">
        <is>
          <t>Head of Listings &amp; Issuer Services</t>
        </is>
      </c>
      <c r="C169" s="3" t="n">
        <v>100004</v>
      </c>
      <c r="D169" s="3" t="inlineStr"/>
    </row>
    <row r="170">
      <c r="A170" s="3" t="n">
        <v>100032</v>
      </c>
      <c r="B170" s="3" t="inlineStr">
        <is>
          <t>Team Lead, Listings &amp; Issuer Services</t>
        </is>
      </c>
      <c r="C170" s="3" t="n">
        <v>100031</v>
      </c>
      <c r="D170" s="3" t="inlineStr"/>
    </row>
    <row r="171">
      <c r="A171" s="3" t="n">
        <v>100125</v>
      </c>
      <c r="B171" s="3" t="inlineStr">
        <is>
          <t>Senior Engineer</t>
        </is>
      </c>
      <c r="C171" s="3" t="n">
        <v>100104</v>
      </c>
      <c r="D171" s="3" t="inlineStr">
        <is>
          <t>Platform Engineering</t>
        </is>
      </c>
    </row>
    <row r="172">
      <c r="A172" s="3" t="n">
        <v>100254</v>
      </c>
      <c r="B172" s="3" t="inlineStr">
        <is>
          <t>Data Associate</t>
        </is>
      </c>
      <c r="C172" s="3" t="n">
        <v>100048</v>
      </c>
      <c r="D172" s="3" t="inlineStr">
        <is>
          <t>Market Data</t>
        </is>
      </c>
    </row>
    <row r="173">
      <c r="A173" s="3" t="n">
        <v>100169</v>
      </c>
      <c r="B173" s="3" t="inlineStr">
        <is>
          <t>Head of Corporate Functions</t>
        </is>
      </c>
      <c r="C173" s="3" t="n">
        <v>100001</v>
      </c>
      <c r="D173" s="3" t="inlineStr"/>
    </row>
    <row r="174">
      <c r="A174" s="3" t="n">
        <v>100209</v>
      </c>
      <c r="B174" s="3" t="inlineStr">
        <is>
          <t>Compliance Analyst</t>
        </is>
      </c>
      <c r="C174" s="3" t="n">
        <v>100198</v>
      </c>
      <c r="D174" s="3" t="inlineStr"/>
    </row>
    <row r="175">
      <c r="A175" s="3" t="n">
        <v>100257</v>
      </c>
      <c r="B175" s="3" t="inlineStr">
        <is>
          <t>Operations Analyst</t>
        </is>
      </c>
      <c r="C175" s="3" t="n">
        <v>100088</v>
      </c>
      <c r="D175" s="3" t="inlineStr"/>
    </row>
    <row r="176">
      <c r="A176" s="3" t="n">
        <v>100108</v>
      </c>
      <c r="B176" s="3" t="inlineStr">
        <is>
          <t>Associate Engineer</t>
        </is>
      </c>
      <c r="C176" s="3" t="n">
        <v>100292</v>
      </c>
      <c r="D176" s="3" t="inlineStr">
        <is>
          <t>Information Security</t>
        </is>
      </c>
    </row>
    <row r="177">
      <c r="A177" s="3" t="n">
        <v>100137</v>
      </c>
      <c r="B177" s="3" t="inlineStr">
        <is>
          <t>Head of IT Infrastructure</t>
        </is>
      </c>
      <c r="C177" s="3" t="n">
        <v>100100</v>
      </c>
      <c r="D177" s="3" t="inlineStr">
        <is>
          <t>IT Infrastructure</t>
        </is>
      </c>
    </row>
    <row r="178">
      <c r="A178" s="3" t="n">
        <v>100205</v>
      </c>
      <c r="B178" s="3" t="inlineStr">
        <is>
          <t>Compliance Expert</t>
        </is>
      </c>
      <c r="C178" s="3" t="n">
        <v>100198</v>
      </c>
      <c r="D178" s="3" t="inlineStr"/>
    </row>
    <row r="179">
      <c r="A179" s="3" t="n">
        <v>100119</v>
      </c>
      <c r="B179" s="3" t="inlineStr">
        <is>
          <t>Senior Engineer</t>
        </is>
      </c>
      <c r="C179" s="3" t="n">
        <v>100104</v>
      </c>
      <c r="D179" s="3" t="inlineStr">
        <is>
          <t>Platform Engineering</t>
        </is>
      </c>
    </row>
    <row r="180">
      <c r="A180" s="3" t="n">
        <v>100078</v>
      </c>
      <c r="B180" s="3" t="inlineStr">
        <is>
          <t>Operations Associate</t>
        </is>
      </c>
      <c r="C180" s="3" t="n">
        <v>100076</v>
      </c>
      <c r="D180" s="3" t="inlineStr"/>
    </row>
    <row r="181">
      <c r="A181" s="3" t="n">
        <v>100089</v>
      </c>
      <c r="B181" s="3" t="inlineStr">
        <is>
          <t>Operations Associate</t>
        </is>
      </c>
      <c r="C181" s="3" t="n">
        <v>100088</v>
      </c>
      <c r="D181" s="3" t="inlineStr"/>
    </row>
    <row r="182">
      <c r="A182" s="3" t="n">
        <v>100041</v>
      </c>
      <c r="B182" s="3" t="inlineStr">
        <is>
          <t>Senior Markets Analyst</t>
        </is>
      </c>
      <c r="C182" s="3" t="n">
        <v>100032</v>
      </c>
      <c r="D182" s="3" t="inlineStr"/>
    </row>
    <row r="183">
      <c r="A183" s="3" t="n">
        <v>100064</v>
      </c>
      <c r="B183" s="3" t="inlineStr">
        <is>
          <t>Operations Analyst</t>
        </is>
      </c>
      <c r="C183" s="3" t="n">
        <v>100063</v>
      </c>
      <c r="D183" s="3" t="inlineStr"/>
    </row>
    <row r="184">
      <c r="A184" s="3" t="n">
        <v>100104</v>
      </c>
      <c r="B184" s="3" t="inlineStr">
        <is>
          <t>Team Lead, Platform Engineering</t>
        </is>
      </c>
      <c r="C184" s="3" t="n">
        <v>100101</v>
      </c>
      <c r="D184" s="3" t="inlineStr">
        <is>
          <t>Platform Engineering</t>
        </is>
      </c>
    </row>
    <row r="185">
      <c r="A185" s="3" t="n">
        <v>100153</v>
      </c>
      <c r="B185" s="3" t="inlineStr">
        <is>
          <t>Engineer</t>
        </is>
      </c>
      <c r="C185" s="3" t="n">
        <v>100139</v>
      </c>
      <c r="D185" s="3" t="inlineStr">
        <is>
          <t>IT Infrastructure</t>
        </is>
      </c>
    </row>
    <row r="186">
      <c r="A186" s="3" t="n">
        <v>100224</v>
      </c>
      <c r="B186" s="3" t="inlineStr">
        <is>
          <t>External Consultant</t>
        </is>
      </c>
      <c r="C186" s="3" t="n">
        <v>100138</v>
      </c>
      <c r="D186" s="3" t="inlineStr">
        <is>
          <t>IT Infrastructure</t>
        </is>
      </c>
    </row>
    <row r="187">
      <c r="A187" s="3" t="n">
        <v>100172</v>
      </c>
      <c r="B187" s="3" t="inlineStr">
        <is>
          <t>Finance Associate</t>
        </is>
      </c>
      <c r="C187" s="3" t="n">
        <v>100170</v>
      </c>
      <c r="D187" s="3" t="inlineStr"/>
    </row>
    <row r="188">
      <c r="A188" s="3" t="n">
        <v>100221</v>
      </c>
      <c r="B188" s="3" t="inlineStr">
        <is>
          <t>External Consultant</t>
        </is>
      </c>
      <c r="C188" s="3" t="n">
        <v>100102</v>
      </c>
      <c r="D188" s="3" t="inlineStr">
        <is>
          <t>Platform Engineering</t>
        </is>
      </c>
    </row>
    <row r="189">
      <c r="A189" s="3" t="n">
        <v>100065</v>
      </c>
      <c r="B189" s="3" t="inlineStr">
        <is>
          <t>Operations Analyst</t>
        </is>
      </c>
      <c r="C189" s="3" t="n">
        <v>100063</v>
      </c>
      <c r="D189" s="3" t="inlineStr"/>
    </row>
    <row r="190">
      <c r="A190" s="3" t="n">
        <v>100201</v>
      </c>
      <c r="B190" s="3" t="inlineStr">
        <is>
          <t>Compliance Associate</t>
        </is>
      </c>
      <c r="C190" s="3" t="n">
        <v>100198</v>
      </c>
      <c r="D190" s="3" t="inlineStr"/>
    </row>
    <row r="191">
      <c r="A191" s="3" t="n">
        <v>100047</v>
      </c>
      <c r="B191" s="3" t="inlineStr">
        <is>
          <t>Head of Market Data</t>
        </is>
      </c>
      <c r="C191" s="3" t="n">
        <v>100004</v>
      </c>
      <c r="D191" s="3" t="inlineStr">
        <is>
          <t>Market Data</t>
        </is>
      </c>
    </row>
    <row r="192">
      <c r="A192" s="3" t="n">
        <v>100091</v>
      </c>
      <c r="B192" s="3" t="inlineStr">
        <is>
          <t>Operations Specialist</t>
        </is>
      </c>
      <c r="C192" s="3" t="n">
        <v>100088</v>
      </c>
      <c r="D192" s="3" t="inlineStr"/>
    </row>
    <row r="193">
      <c r="A193" s="3" t="n">
        <v>100020</v>
      </c>
      <c r="B193" s="3" t="inlineStr">
        <is>
          <t>Senior Markets Analyst</t>
        </is>
      </c>
      <c r="C193" s="3" t="n">
        <v>100006</v>
      </c>
      <c r="D193" s="3" t="inlineStr"/>
    </row>
    <row r="194">
      <c r="A194" s="3" t="n">
        <v>100240</v>
      </c>
      <c r="B194" s="3" t="inlineStr">
        <is>
          <t>Data Analyst</t>
        </is>
      </c>
      <c r="C194" s="3" t="n">
        <v>100048</v>
      </c>
      <c r="D194" s="3" t="inlineStr">
        <is>
          <t>Market Data</t>
        </is>
      </c>
    </row>
    <row r="195">
      <c r="A195" s="3" t="n">
        <v>100284</v>
      </c>
      <c r="B195" s="3" t="inlineStr">
        <is>
          <t>HR Associate</t>
        </is>
      </c>
      <c r="C195" s="3" t="n">
        <v>100186</v>
      </c>
      <c r="D195" s="3" t="inlineStr"/>
    </row>
    <row r="196">
      <c r="A196" s="3" t="n">
        <v>100271</v>
      </c>
      <c r="B196" s="3" t="inlineStr">
        <is>
          <t>Markets Analyst</t>
        </is>
      </c>
      <c r="C196" s="3" t="n">
        <v>100032</v>
      </c>
      <c r="D196" s="3" t="inlineStr"/>
    </row>
    <row r="197">
      <c r="A197" s="3" t="n">
        <v>100126</v>
      </c>
      <c r="B197" s="3" t="inlineStr">
        <is>
          <t>Principal Engineer</t>
        </is>
      </c>
      <c r="C197" s="3" t="n">
        <v>100102</v>
      </c>
      <c r="D197" s="3" t="inlineStr">
        <is>
          <t>Platform Engineering</t>
        </is>
      </c>
    </row>
    <row r="198">
      <c r="A198" s="3" t="n">
        <v>100096</v>
      </c>
      <c r="B198" s="3" t="inlineStr">
        <is>
          <t>Operations Specialist</t>
        </is>
      </c>
      <c r="C198" s="3" t="n">
        <v>100088</v>
      </c>
      <c r="D198" s="3" t="inlineStr"/>
    </row>
    <row r="199">
      <c r="A199" s="3" t="n">
        <v>100218</v>
      </c>
      <c r="B199" s="3" t="inlineStr">
        <is>
          <t>Risk Analyst</t>
        </is>
      </c>
      <c r="C199" s="3" t="n">
        <v>100210</v>
      </c>
      <c r="D199" s="3" t="inlineStr"/>
    </row>
    <row r="200">
      <c r="A200" s="3" t="n">
        <v>100138</v>
      </c>
      <c r="B200" s="3" t="inlineStr">
        <is>
          <t>Team Lead, IT Infrastructure</t>
        </is>
      </c>
      <c r="C200" s="3" t="n">
        <v>100137</v>
      </c>
      <c r="D200" s="3" t="inlineStr">
        <is>
          <t>IT Infrastructure</t>
        </is>
      </c>
    </row>
    <row r="201">
      <c r="A201" s="3" t="n">
        <v>100208</v>
      </c>
      <c r="B201" s="3" t="inlineStr">
        <is>
          <t>Senior Compliance Analyst</t>
        </is>
      </c>
      <c r="C201" s="3" t="n">
        <v>100198</v>
      </c>
      <c r="D201" s="3" t="inlineStr"/>
    </row>
    <row r="202">
      <c r="A202" s="3" t="n">
        <v>100007</v>
      </c>
      <c r="B202" s="3" t="inlineStr">
        <is>
          <t>Team Lead, Trading Services</t>
        </is>
      </c>
      <c r="C202" s="3" t="n">
        <v>100005</v>
      </c>
      <c r="D202" s="3" t="inlineStr"/>
    </row>
    <row r="203">
      <c r="A203" s="3" t="n">
        <v>100140</v>
      </c>
      <c r="B203" s="3" t="inlineStr">
        <is>
          <t>Associate Engineer</t>
        </is>
      </c>
      <c r="C203" s="3" t="n">
        <v>100138</v>
      </c>
      <c r="D203" s="3" t="inlineStr">
        <is>
          <t>IT Infrastructure</t>
        </is>
      </c>
    </row>
    <row r="204">
      <c r="A204" s="3" t="n">
        <v>100272</v>
      </c>
      <c r="B204" s="3" t="inlineStr">
        <is>
          <t>Finance Associate</t>
        </is>
      </c>
      <c r="C204" s="3" t="n">
        <v>100170</v>
      </c>
      <c r="D204" s="3" t="inlineStr"/>
    </row>
    <row r="205">
      <c r="A205" s="3" t="n">
        <v>100259</v>
      </c>
      <c r="B205" s="3" t="inlineStr">
        <is>
          <t>Senior Operations Analyst</t>
        </is>
      </c>
      <c r="C205" s="3" t="n">
        <v>100063</v>
      </c>
      <c r="D205" s="3" t="inlineStr"/>
    </row>
    <row r="206">
      <c r="A206" s="3" t="n">
        <v>100244</v>
      </c>
      <c r="B206" s="3" t="inlineStr">
        <is>
          <t>Principal Engineer</t>
        </is>
      </c>
      <c r="C206" s="3" t="n">
        <v>100102</v>
      </c>
      <c r="D206" s="3" t="inlineStr">
        <is>
          <t>Platform Engineering</t>
        </is>
      </c>
    </row>
    <row r="207">
      <c r="A207" s="3" t="n">
        <v>100283</v>
      </c>
      <c r="B207" s="3" t="inlineStr">
        <is>
          <t>Associate Engineer</t>
        </is>
      </c>
      <c r="C207" s="3" t="n">
        <v>100104</v>
      </c>
      <c r="D207" s="3" t="inlineStr">
        <is>
          <t>Platform Engineering</t>
        </is>
      </c>
    </row>
    <row r="208">
      <c r="A208" s="3" t="n">
        <v>100043</v>
      </c>
      <c r="B208" s="3" t="inlineStr">
        <is>
          <t>Markets Associate</t>
        </is>
      </c>
      <c r="C208" s="3" t="n">
        <v>100032</v>
      </c>
      <c r="D208" s="3" t="inlineStr"/>
    </row>
    <row r="209">
      <c r="A209" s="3" t="n">
        <v>100249</v>
      </c>
      <c r="B209" s="3" t="inlineStr">
        <is>
          <t>Associate Engineer</t>
        </is>
      </c>
      <c r="C209" s="3" t="n">
        <v>100138</v>
      </c>
      <c r="D209" s="3" t="inlineStr">
        <is>
          <t>IT Infrastructure</t>
        </is>
      </c>
    </row>
    <row r="210">
      <c r="A210" s="3" t="n">
        <v>100081</v>
      </c>
      <c r="B210" s="3" t="inlineStr">
        <is>
          <t>Operations Associate</t>
        </is>
      </c>
      <c r="C210" s="3" t="n">
        <v>100076</v>
      </c>
      <c r="D210" s="3" t="inlineStr"/>
    </row>
    <row r="211">
      <c r="A211" s="3" t="n">
        <v>100132</v>
      </c>
      <c r="B211" s="3" t="inlineStr">
        <is>
          <t>Senior Engineer</t>
        </is>
      </c>
      <c r="C211" s="3" t="n">
        <v>100102</v>
      </c>
      <c r="D211" s="3" t="inlineStr">
        <is>
          <t>Platform Engineering</t>
        </is>
      </c>
    </row>
    <row r="212">
      <c r="A212" s="3" t="n">
        <v>100228</v>
      </c>
      <c r="B212" s="3" t="inlineStr">
        <is>
          <t>Associate Engineer</t>
        </is>
      </c>
      <c r="C212" s="3" t="n">
        <v>100104</v>
      </c>
      <c r="D212" s="3" t="inlineStr">
        <is>
          <t>Platform Engineering</t>
        </is>
      </c>
    </row>
    <row r="213">
      <c r="A213" s="3" t="n">
        <v>100144</v>
      </c>
      <c r="B213" s="3" t="inlineStr">
        <is>
          <t>Associate Engineer</t>
        </is>
      </c>
      <c r="C213" s="3" t="n">
        <v>100138</v>
      </c>
      <c r="D213" s="3" t="inlineStr">
        <is>
          <t>IT Infrastructure</t>
        </is>
      </c>
    </row>
    <row r="214">
      <c r="A214" s="3" t="n">
        <v>100211</v>
      </c>
      <c r="B214" s="3" t="inlineStr">
        <is>
          <t>Risk Expert</t>
        </is>
      </c>
      <c r="C214" s="3" t="n">
        <v>100210</v>
      </c>
      <c r="D214" s="3" t="inlineStr"/>
    </row>
    <row r="215">
      <c r="A215" s="3" t="n">
        <v>100186</v>
      </c>
      <c r="B215" s="3" t="inlineStr">
        <is>
          <t>Head of People &amp; Culture</t>
        </is>
      </c>
      <c r="C215" s="3" t="n">
        <v>100169</v>
      </c>
      <c r="D215" s="3" t="inlineStr"/>
    </row>
    <row r="216">
      <c r="A216" s="3" t="n">
        <v>100003</v>
      </c>
      <c r="B216" s="3" t="inlineStr">
        <is>
          <t>Executive Assistant</t>
        </is>
      </c>
      <c r="C216" s="3" t="n">
        <v>100001</v>
      </c>
      <c r="D216" s="3" t="inlineStr"/>
    </row>
    <row r="217">
      <c r="A217" s="3" t="n">
        <v>100260</v>
      </c>
      <c r="B217" s="3" t="inlineStr">
        <is>
          <t>Operations Analyst</t>
        </is>
      </c>
      <c r="C217" s="3" t="n">
        <v>100076</v>
      </c>
      <c r="D217" s="3" t="inlineStr"/>
    </row>
    <row r="218">
      <c r="A218" s="3" t="n">
        <v>100139</v>
      </c>
      <c r="B218" s="3" t="inlineStr">
        <is>
          <t>Team Lead, IT Infrastructure</t>
        </is>
      </c>
      <c r="C218" s="3" t="n">
        <v>100137</v>
      </c>
      <c r="D218" s="3" t="inlineStr">
        <is>
          <t>IT Infrastructure</t>
        </is>
      </c>
    </row>
    <row r="219">
      <c r="A219" s="3" t="n">
        <v>100151</v>
      </c>
      <c r="B219" s="3" t="inlineStr">
        <is>
          <t>Principal Engineer</t>
        </is>
      </c>
      <c r="C219" s="3" t="n">
        <v>100139</v>
      </c>
      <c r="D219" s="3" t="inlineStr">
        <is>
          <t>IT Infrastructure</t>
        </is>
      </c>
    </row>
    <row r="220">
      <c r="A220" s="3" t="n">
        <v>100203</v>
      </c>
      <c r="B220" s="3" t="inlineStr">
        <is>
          <t>Senior Compliance Analyst</t>
        </is>
      </c>
      <c r="C220" s="3" t="n">
        <v>100198</v>
      </c>
      <c r="D220" s="3" t="inlineStr"/>
    </row>
    <row r="221">
      <c r="A221" s="3" t="n">
        <v>100235</v>
      </c>
      <c r="B221" s="3" t="inlineStr">
        <is>
          <t>Senior Engineer</t>
        </is>
      </c>
      <c r="C221" s="3" t="n">
        <v>100292</v>
      </c>
      <c r="D221" s="3" t="inlineStr">
        <is>
          <t>Information Security</t>
        </is>
      </c>
    </row>
    <row r="222">
      <c r="A222" s="3" t="n">
        <v>100182</v>
      </c>
      <c r="B222" s="3" t="inlineStr">
        <is>
          <t>Finance Expert</t>
        </is>
      </c>
      <c r="C222" s="3" t="n">
        <v>100170</v>
      </c>
      <c r="D222" s="3" t="inlineStr"/>
    </row>
    <row r="223">
      <c r="A223" s="3" t="n">
        <v>100036</v>
      </c>
      <c r="B223" s="3" t="inlineStr">
        <is>
          <t>Markets Specialist</t>
        </is>
      </c>
      <c r="C223" s="3" t="n">
        <v>100032</v>
      </c>
      <c r="D223" s="3" t="inlineStr"/>
    </row>
    <row r="224">
      <c r="A224" s="3" t="n">
        <v>100048</v>
      </c>
      <c r="B224" s="3" t="inlineStr">
        <is>
          <t>Team Lead, Market Data</t>
        </is>
      </c>
      <c r="C224" s="3" t="n">
        <v>100047</v>
      </c>
      <c r="D224" s="3" t="inlineStr">
        <is>
          <t>Market Data</t>
        </is>
      </c>
    </row>
    <row r="225">
      <c r="A225" s="3" t="n">
        <v>100237</v>
      </c>
      <c r="B225" s="3" t="inlineStr">
        <is>
          <t>Engineer</t>
        </is>
      </c>
      <c r="C225" s="3" t="n">
        <v>100138</v>
      </c>
      <c r="D225" s="3" t="inlineStr">
        <is>
          <t>IT Infrastructure</t>
        </is>
      </c>
    </row>
    <row r="226">
      <c r="A226" s="3" t="n">
        <v>100204</v>
      </c>
      <c r="B226" s="3" t="inlineStr">
        <is>
          <t>Compliance Analyst</t>
        </is>
      </c>
      <c r="C226" s="3" t="n">
        <v>100198</v>
      </c>
      <c r="D226" s="3" t="inlineStr"/>
    </row>
    <row r="227">
      <c r="A227" s="3" t="n">
        <v>100080</v>
      </c>
      <c r="B227" s="3" t="inlineStr">
        <is>
          <t>Operations Specialist</t>
        </is>
      </c>
      <c r="C227" s="3" t="n">
        <v>100076</v>
      </c>
      <c r="D227" s="3" t="inlineStr"/>
    </row>
    <row r="228">
      <c r="A228" s="3" t="n">
        <v>100152</v>
      </c>
      <c r="B228" s="3" t="inlineStr">
        <is>
          <t>Senior Engineer</t>
        </is>
      </c>
      <c r="C228" s="3" t="n">
        <v>100138</v>
      </c>
      <c r="D228" s="3" t="inlineStr">
        <is>
          <t>IT Infrastructure</t>
        </is>
      </c>
    </row>
    <row r="229">
      <c r="A229" s="3" t="n">
        <v>100019</v>
      </c>
      <c r="B229" s="3" t="inlineStr">
        <is>
          <t>Markets Specialist</t>
        </is>
      </c>
      <c r="C229" s="3" t="n">
        <v>100032</v>
      </c>
      <c r="D229" s="3" t="inlineStr"/>
    </row>
    <row r="230">
      <c r="A230" s="3" t="n">
        <v>100146</v>
      </c>
      <c r="B230" s="3" t="inlineStr">
        <is>
          <t>Senior Engineer</t>
        </is>
      </c>
      <c r="C230" s="3" t="n">
        <v>100138</v>
      </c>
      <c r="D230" s="3" t="inlineStr">
        <is>
          <t>IT Infrastructure</t>
        </is>
      </c>
    </row>
    <row r="231">
      <c r="A231" s="3" t="n">
        <v>100199</v>
      </c>
      <c r="B231" s="3" t="inlineStr">
        <is>
          <t>Compliance Analyst</t>
        </is>
      </c>
      <c r="C231" s="3" t="n">
        <v>100198</v>
      </c>
      <c r="D231" s="3" t="inlineStr"/>
    </row>
    <row r="232">
      <c r="A232" s="3" t="n">
        <v>100212</v>
      </c>
      <c r="B232" s="3" t="inlineStr">
        <is>
          <t>Risk Associate</t>
        </is>
      </c>
      <c r="C232" s="3" t="n">
        <v>100210</v>
      </c>
      <c r="D232" s="3" t="inlineStr"/>
    </row>
    <row r="233">
      <c r="A233" s="3" t="n">
        <v>100050</v>
      </c>
      <c r="B233" s="3" t="inlineStr">
        <is>
          <t>Data Specialist</t>
        </is>
      </c>
      <c r="C233" s="3" t="n">
        <v>100048</v>
      </c>
      <c r="D233" s="3" t="inlineStr">
        <is>
          <t>Market Data</t>
        </is>
      </c>
    </row>
    <row r="234">
      <c r="A234" s="3" t="n">
        <v>100266</v>
      </c>
      <c r="B234" s="3" t="inlineStr">
        <is>
          <t>Operations Analyst</t>
        </is>
      </c>
      <c r="C234" s="3" t="n">
        <v>100076</v>
      </c>
      <c r="D234" s="3" t="inlineStr"/>
    </row>
    <row r="235">
      <c r="A235" s="3" t="n">
        <v>100162</v>
      </c>
      <c r="B235" s="3" t="inlineStr">
        <is>
          <t>Engineer</t>
        </is>
      </c>
      <c r="C235" s="3" t="n">
        <v>100292</v>
      </c>
      <c r="D235" s="3" t="inlineStr">
        <is>
          <t>Information Security</t>
        </is>
      </c>
    </row>
    <row r="236">
      <c r="A236" s="3" t="n">
        <v>100029</v>
      </c>
      <c r="B236" s="3" t="inlineStr">
        <is>
          <t>Senior Markets Analyst</t>
        </is>
      </c>
      <c r="C236" s="3" t="n">
        <v>100007</v>
      </c>
      <c r="D236" s="3" t="inlineStr"/>
    </row>
    <row r="237">
      <c r="A237" s="3" t="n">
        <v>100024</v>
      </c>
      <c r="B237" s="3" t="inlineStr">
        <is>
          <t>Senior Markets Analyst</t>
        </is>
      </c>
      <c r="C237" s="3" t="n">
        <v>100006</v>
      </c>
      <c r="D237" s="3" t="inlineStr"/>
    </row>
    <row r="238">
      <c r="A238" s="3" t="n">
        <v>100074</v>
      </c>
      <c r="B238" s="3" t="inlineStr">
        <is>
          <t>Operations Analyst</t>
        </is>
      </c>
      <c r="C238" s="3" t="n">
        <v>100063</v>
      </c>
      <c r="D238" s="3" t="inlineStr"/>
    </row>
    <row r="239">
      <c r="A239" s="3" t="n">
        <v>100112</v>
      </c>
      <c r="B239" s="3" t="inlineStr">
        <is>
          <t>Engineer</t>
        </is>
      </c>
      <c r="C239" s="3" t="n">
        <v>100103</v>
      </c>
      <c r="D239" s="3" t="inlineStr">
        <is>
          <t>Platform Engineering</t>
        </is>
      </c>
    </row>
    <row r="240">
      <c r="A240" s="3" t="n">
        <v>100004</v>
      </c>
      <c r="B240" s="3" t="inlineStr">
        <is>
          <t>Head of Markets</t>
        </is>
      </c>
      <c r="C240" s="3" t="n">
        <v>100001</v>
      </c>
      <c r="D240" s="3" t="inlineStr"/>
    </row>
    <row r="241">
      <c r="A241" s="3" t="n">
        <v>100188</v>
      </c>
      <c r="B241" s="3" t="inlineStr">
        <is>
          <t>HR Analyst</t>
        </is>
      </c>
      <c r="C241" s="3" t="n">
        <v>100186</v>
      </c>
      <c r="D241" s="3" t="inlineStr"/>
    </row>
    <row r="242">
      <c r="A242" s="3" t="n">
        <v>100175</v>
      </c>
      <c r="B242" s="3" t="inlineStr">
        <is>
          <t>Finance Associate</t>
        </is>
      </c>
      <c r="C242" s="3" t="n">
        <v>100170</v>
      </c>
      <c r="D242" s="3" t="inlineStr"/>
    </row>
    <row r="243">
      <c r="A243" s="3" t="n">
        <v>100107</v>
      </c>
      <c r="B243" s="3" t="inlineStr">
        <is>
          <t>Senior Engineer</t>
        </is>
      </c>
      <c r="C243" s="3" t="n">
        <v>100104</v>
      </c>
      <c r="D243" s="3" t="inlineStr">
        <is>
          <t>Platform Engineering</t>
        </is>
      </c>
    </row>
    <row r="244">
      <c r="A244" s="3" t="n">
        <v>100193</v>
      </c>
      <c r="B244" s="3" t="inlineStr">
        <is>
          <t>HR Associate</t>
        </is>
      </c>
      <c r="C244" s="3" t="n">
        <v>100186</v>
      </c>
      <c r="D244" s="3" t="inlineStr"/>
    </row>
    <row r="245">
      <c r="A245" s="3" t="n">
        <v>100274</v>
      </c>
      <c r="B245" s="3" t="inlineStr">
        <is>
          <t>Senior Data Analyst</t>
        </is>
      </c>
      <c r="C245" s="3" t="n">
        <v>100048</v>
      </c>
      <c r="D245" s="3" t="inlineStr">
        <is>
          <t>Market Data</t>
        </is>
      </c>
    </row>
    <row r="246">
      <c r="A246" s="3" t="n">
        <v>100063</v>
      </c>
      <c r="B246" s="3" t="inlineStr">
        <is>
          <t>Team Lead, Clearing Operations</t>
        </is>
      </c>
      <c r="C246" s="3" t="n">
        <v>100062</v>
      </c>
      <c r="D246" s="3" t="inlineStr"/>
    </row>
    <row r="247">
      <c r="A247" s="3" t="n">
        <v>100124</v>
      </c>
      <c r="B247" s="3" t="inlineStr">
        <is>
          <t>Engineer</t>
        </is>
      </c>
      <c r="C247" s="3" t="n">
        <v>100103</v>
      </c>
      <c r="D247" s="3" t="inlineStr">
        <is>
          <t>Platform Engineering</t>
        </is>
      </c>
    </row>
    <row r="248">
      <c r="A248" s="3" t="n">
        <v>100088</v>
      </c>
      <c r="B248" s="3" t="inlineStr">
        <is>
          <t>Head of Client Services</t>
        </is>
      </c>
      <c r="C248" s="3" t="n">
        <v>100061</v>
      </c>
      <c r="D248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2026-10-04T19:11:57Z</dcterms:created>
  <dcterms:modified xsi:type="dcterms:W3CDTF">2026-10-04T19:11:57Z</dcterms:modified>
</cp:coreProperties>
</file>